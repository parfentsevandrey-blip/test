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Андрей\Downloads\"/>
    </mc:Choice>
  </mc:AlternateContent>
  <xr:revisionPtr revIDLastSave="0" documentId="13_ncr:1_{4117F887-F6D4-480F-AA33-27F9D8B3C1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Реестр" sheetId="1" r:id="rId1"/>
  </sheets>
  <definedNames>
    <definedName name="_xlnm.Print_Titles" localSheetId="0">Реестр!$1:$1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" l="1"/>
  <c r="M3" i="1"/>
  <c r="Q4" i="1"/>
  <c r="M4" i="1"/>
  <c r="Q9" i="1"/>
  <c r="M9" i="1"/>
  <c r="Q6" i="1"/>
  <c r="M6" i="1"/>
  <c r="Q2" i="1"/>
  <c r="M2" i="1"/>
  <c r="Q7" i="1"/>
  <c r="M7" i="1"/>
  <c r="Q5" i="1"/>
  <c r="M5" i="1"/>
  <c r="Q10" i="1"/>
  <c r="M10" i="1"/>
  <c r="Q8" i="1"/>
  <c r="M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Источник</author>
  </authors>
  <commentList>
    <comment ref="G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Площадь 315,5 м² взята из объявления Абсолют Банка на ЦИАН (та же цена — 112,95 млн ₽, с НДС 22%). На странице roseltorg площадь не указана — она есть только в аукционной документации (.doc).</t>
        </r>
      </text>
    </comment>
  </commentList>
</comments>
</file>

<file path=xl/sharedStrings.xml><?xml version="1.0" encoding="utf-8"?>
<sst xmlns="http://schemas.openxmlformats.org/spreadsheetml/2006/main" count="92" uniqueCount="54">
  <si>
    <t>№</t>
  </si>
  <si>
    <t>Тип объекта</t>
  </si>
  <si>
    <t>Адрес</t>
  </si>
  <si>
    <t>Округ</t>
  </si>
  <si>
    <t>Район</t>
  </si>
  <si>
    <t>Метро</t>
  </si>
  <si>
    <t>Площадь, м²</t>
  </si>
  <si>
    <t>Участок, м²</t>
  </si>
  <si>
    <t>Этаж</t>
  </si>
  <si>
    <t>Этажность</t>
  </si>
  <si>
    <t>ОКН</t>
  </si>
  <si>
    <t>Начальная цена, ₽</t>
  </si>
  <si>
    <t>Цена за м², ₽</t>
  </si>
  <si>
    <t>Задаток, ₽</t>
  </si>
  <si>
    <t>Шаг аукциона, ₽</t>
  </si>
  <si>
    <t>Приём заявок до</t>
  </si>
  <si>
    <t>Дней до конца приёма</t>
  </si>
  <si>
    <t>Дата торгов</t>
  </si>
  <si>
    <t>Карточка</t>
  </si>
  <si>
    <t>Нежилое помещение</t>
  </si>
  <si>
    <t>Малый Златоустинский пер., д. 8, стр. 1, этаж 1</t>
  </si>
  <si>
    <t>ЦАО</t>
  </si>
  <si>
    <t>Басманный</t>
  </si>
  <si>
    <t>Китай-город</t>
  </si>
  <si>
    <t>1</t>
  </si>
  <si>
    <t>Нет</t>
  </si>
  <si>
    <t>—</t>
  </si>
  <si>
    <t>открыть ↗</t>
  </si>
  <si>
    <t>Большая Никитская ул., д. 21/18, стр. 1, этаж 1</t>
  </si>
  <si>
    <t>Пресненский</t>
  </si>
  <si>
    <t>Арбатская</t>
  </si>
  <si>
    <t>Да</t>
  </si>
  <si>
    <t>ул. Бахрушина, д. 1, стр. 1, этаж 1, помещение 5/1</t>
  </si>
  <si>
    <t>Замоскворечье</t>
  </si>
  <si>
    <t>Павелецкая</t>
  </si>
  <si>
    <t>Большая Сухаревская пл., д. 1/2, стр. 1, помещ. 3/1</t>
  </si>
  <si>
    <t>Мещанский</t>
  </si>
  <si>
    <t>Сухаревская</t>
  </si>
  <si>
    <t>Подвал, 1 этаж, антресоль</t>
  </si>
  <si>
    <t>Здание + земельный участок</t>
  </si>
  <si>
    <t>Каширское ш., д. 88/26, стр. 2</t>
  </si>
  <si>
    <t>ЮАО</t>
  </si>
  <si>
    <t>Орехово-Борисово Северное</t>
  </si>
  <si>
    <t>Домодедовская</t>
  </si>
  <si>
    <t>Неглинная ул., д. 18/1, стр. 2</t>
  </si>
  <si>
    <t>Трубная</t>
  </si>
  <si>
    <t>ул. Покровка, д. 19, этаж 1</t>
  </si>
  <si>
    <t>Чистые пруды</t>
  </si>
  <si>
    <t>Здание</t>
  </si>
  <si>
    <t>Пятницкая ул., д. 15</t>
  </si>
  <si>
    <t>Новокузнецкая</t>
  </si>
  <si>
    <t>Краснопрудная ул., д. 3Б (земельный участок 3/5/1), здание Ярославского ПЖДП</t>
  </si>
  <si>
    <t>Красносельский</t>
  </si>
  <si>
    <t>Красносельская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</si>
</sst>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6" formatCode="dd\.mm\.yyyy\ hh:mm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1F2328"/>
      <name val="Arial"/>
    </font>
    <font>
      <sz val="10"/>
      <color rgb="FF9AA0A6"/>
      <name val="Arial"/>
    </font>
    <font>
      <u/>
      <sz val="10"/>
      <color rgb="FFE0533D"/>
      <name val="Arial"/>
    </font>
    <font>
      <b/>
      <sz val="10"/>
      <color rgb="FFE0533D"/>
      <name val="Arial"/>
    </font>
    <font>
      <b/>
      <sz val="10"/>
      <color rgb="FF1F2328"/>
      <name val="Arial"/>
    </font>
    <font>
      <b/>
      <sz val="11"/>
      <color rgb="FF1F2328"/>
      <name val="Arial"/>
    </font>
  </fonts>
  <fills count="4">
    <fill>
      <patternFill patternType="none"/>
    </fill>
    <fill>
      <patternFill patternType="gray125"/>
    </fill>
    <fill>
      <patternFill patternType="solid">
        <fgColor rgb="FF2B2D31"/>
      </patternFill>
    </fill>
    <fill>
      <patternFill patternType="solid">
        <fgColor rgb="FFFAFAF9"/>
      </patternFill>
    </fill>
  </fills>
  <borders count="5">
    <border>
      <left/>
      <right/>
      <top/>
      <bottom/>
      <diagonal/>
    </border>
    <border>
      <left/>
      <right/>
      <top/>
      <bottom style="thick">
        <color rgb="FFE0533D"/>
      </bottom>
      <diagonal/>
    </border>
    <border>
      <left style="medium">
        <color rgb="FFE0533D"/>
      </left>
      <right/>
      <top/>
      <bottom style="thick">
        <color rgb="FFE0533D"/>
      </bottom>
      <diagonal/>
    </border>
    <border>
      <left/>
      <right/>
      <top/>
      <bottom style="thin">
        <color rgb="FFE6E7EA"/>
      </bottom>
      <diagonal/>
    </border>
    <border>
      <left style="medium">
        <color rgb="FFE0533D"/>
      </left>
      <right/>
      <top/>
      <bottom style="thin">
        <color rgb="FFE6E7E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1" fillId="2" borderId="2" xfId="0" applyFont="1" applyFill="1" applyBorder="1" applyAlignment="1">
      <alignment horizontal="right" vertical="center" wrapText="1" indent="1"/>
    </xf>
    <xf numFmtId="0" fontId="1" fillId="2" borderId="1" xfId="0" applyFont="1" applyFill="1" applyBorder="1" applyAlignment="1">
      <alignment horizontal="right" vertical="center" wrapText="1" indent="1"/>
    </xf>
    <xf numFmtId="0" fontId="1" fillId="2" borderId="2" xfId="0" applyFont="1" applyFill="1" applyBorder="1" applyAlignment="1">
      <alignment horizontal="center" vertical="center" wrapText="1" indent="1"/>
    </xf>
    <xf numFmtId="0" fontId="5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center" vertical="center"/>
    </xf>
    <xf numFmtId="4" fontId="2" fillId="0" borderId="3" xfId="0" applyNumberFormat="1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164" fontId="2" fillId="3" borderId="4" xfId="0" applyNumberFormat="1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center" vertical="center"/>
    </xf>
    <xf numFmtId="3" fontId="7" fillId="3" borderId="4" xfId="0" applyNumberFormat="1" applyFont="1" applyFill="1" applyBorder="1" applyAlignment="1">
      <alignment horizontal="center" vertical="center"/>
    </xf>
    <xf numFmtId="4" fontId="2" fillId="3" borderId="3" xfId="0" applyNumberFormat="1" applyFont="1" applyFill="1" applyBorder="1" applyAlignment="1">
      <alignment horizontal="center" vertical="center"/>
    </xf>
    <xf numFmtId="166" fontId="2" fillId="3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4" fontId="3" fillId="3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</cellXfs>
  <cellStyles count="1">
    <cellStyle name="Обычный" xfId="0" builtinId="0"/>
  </cellStyles>
  <dxfs count="24">
    <dxf>
      <font>
        <b/>
        <color rgb="FF1E7B45"/>
        <name val="Arial"/>
      </font>
      <fill>
        <patternFill patternType="solid">
          <fgColor rgb="FFE3F4EA"/>
        </patternFill>
      </fill>
    </dxf>
    <dxf>
      <font>
        <b/>
        <color rgb="FF9A5B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9A5B00"/>
        <name val="Arial"/>
      </font>
      <fill>
        <patternFill patternType="solid">
          <fgColor rgb="FFFFF1D6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estr" displayName="Reestr" ref="A1:S10" dataDxfId="4">
  <autoFilter ref="A1:S10" xr:uid="{00000000-0009-0000-0100-000001000000}"/>
  <sortState xmlns:xlrd2="http://schemas.microsoft.com/office/spreadsheetml/2017/richdata2" ref="A2:S10">
    <sortCondition ref="M1:M10"/>
  </sortState>
  <tableColumns count="19">
    <tableColumn id="1" xr3:uid="{00000000-0010-0000-0000-000001000000}" name="№" dataDxfId="23"/>
    <tableColumn id="2" xr3:uid="{00000000-0010-0000-0000-000002000000}" name="Тип объекта" dataDxfId="22"/>
    <tableColumn id="3" xr3:uid="{00000000-0010-0000-0000-000003000000}" name="Адрес" dataDxfId="21"/>
    <tableColumn id="4" xr3:uid="{00000000-0010-0000-0000-000004000000}" name="Округ" dataDxfId="20"/>
    <tableColumn id="5" xr3:uid="{00000000-0010-0000-0000-000005000000}" name="Район" dataDxfId="19"/>
    <tableColumn id="6" xr3:uid="{00000000-0010-0000-0000-000006000000}" name="Метро" dataDxfId="18"/>
    <tableColumn id="8" xr3:uid="{00000000-0010-0000-0000-000008000000}" name="Площадь, м²" dataDxfId="17"/>
    <tableColumn id="9" xr3:uid="{00000000-0010-0000-0000-000009000000}" name="Участок, м²" dataDxfId="16"/>
    <tableColumn id="10" xr3:uid="{00000000-0010-0000-0000-00000A000000}" name="Этаж" dataDxfId="15"/>
    <tableColumn id="11" xr3:uid="{00000000-0010-0000-0000-00000B000000}" name="Этажность" dataDxfId="14"/>
    <tableColumn id="12" xr3:uid="{00000000-0010-0000-0000-00000C000000}" name="ОКН" dataDxfId="13"/>
    <tableColumn id="19" xr3:uid="{00000000-0010-0000-0000-000013000000}" name="Начальная цена, ₽" dataDxfId="12"/>
    <tableColumn id="20" xr3:uid="{00000000-0010-0000-0000-000014000000}" name="Цена за м², ₽" dataDxfId="11"/>
    <tableColumn id="21" xr3:uid="{00000000-0010-0000-0000-000015000000}" name="Задаток, ₽" dataDxfId="10"/>
    <tableColumn id="22" xr3:uid="{00000000-0010-0000-0000-000016000000}" name="Шаг аукциона, ₽" dataDxfId="9"/>
    <tableColumn id="25" xr3:uid="{00000000-0010-0000-0000-000019000000}" name="Приём заявок до" dataDxfId="8"/>
    <tableColumn id="26" xr3:uid="{00000000-0010-0000-0000-00001A000000}" name="Дней до конца приёма" dataDxfId="7"/>
    <tableColumn id="28" xr3:uid="{00000000-0010-0000-0000-00001C000000}" name="Дата торгов" dataDxfId="6"/>
    <tableColumn id="30" xr3:uid="{00000000-0010-0000-0000-00001E000000}" name="Карточка" dataDxfId="5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moscow.ru/tenders/tender/20182722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investmoscow.ru/tenders/tender/20208821" TargetMode="External"/><Relationship Id="rId7" Type="http://schemas.openxmlformats.org/officeDocument/2006/relationships/hyperlink" Target="https://investmoscow.ru/tenders/tender/20212872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investmoscow.ru/tenders/tender/20202772" TargetMode="External"/><Relationship Id="rId1" Type="http://schemas.openxmlformats.org/officeDocument/2006/relationships/hyperlink" Target="https://investmoscow.ru/tenders/tender/20198280" TargetMode="External"/><Relationship Id="rId6" Type="http://schemas.openxmlformats.org/officeDocument/2006/relationships/hyperlink" Target="https://investmoscow.ru/tenders/tender/20209390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investmoscow.ru/tenders/tender/20208859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roseltorg.ru/procedure/COM13102600087/1" TargetMode="External"/><Relationship Id="rId9" Type="http://schemas.openxmlformats.org/officeDocument/2006/relationships/hyperlink" Target="https://www.roseltorg.ru/procedure/21000003370000000430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0533D"/>
    <outlinePr summaryRight="0"/>
    <pageSetUpPr fitToPage="1"/>
  </sheetPr>
  <dimension ref="A1:S10"/>
  <sheetViews>
    <sheetView showGridLines="0" tabSelected="1" zoomScale="70" zoomScaleNormal="70" workbookViewId="0">
      <pane xSplit="3" ySplit="1" topLeftCell="D2" activePane="bottomRight" state="frozen"/>
      <selection pane="topRight"/>
      <selection pane="bottomLeft"/>
      <selection pane="bottomRight" activeCell="S10" sqref="S10"/>
    </sheetView>
  </sheetViews>
  <sheetFormatPr defaultRowHeight="14.4" x14ac:dyDescent="0.3"/>
  <cols>
    <col min="1" max="1" width="5" customWidth="1"/>
    <col min="2" max="2" width="20" customWidth="1"/>
    <col min="3" max="3" width="40" customWidth="1"/>
    <col min="4" max="4" width="10.6640625" customWidth="1"/>
    <col min="5" max="6" width="17" customWidth="1"/>
    <col min="7" max="8" width="14" customWidth="1"/>
    <col min="9" max="9" width="12" customWidth="1"/>
    <col min="10" max="10" width="15" customWidth="1"/>
    <col min="11" max="11" width="8.77734375" customWidth="1"/>
    <col min="12" max="12" width="17" customWidth="1"/>
    <col min="13" max="14" width="15" customWidth="1"/>
    <col min="15" max="15" width="14" customWidth="1"/>
    <col min="16" max="16" width="19.33203125" customWidth="1"/>
    <col min="17" max="17" width="11" customWidth="1"/>
    <col min="18" max="18" width="19.44140625" customWidth="1"/>
    <col min="19" max="19" width="11" customWidth="1"/>
  </cols>
  <sheetData>
    <row r="1" spans="1:19" ht="46.05" customHeight="1" thickBot="1" x14ac:dyDescent="0.3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2" t="s">
        <v>8</v>
      </c>
      <c r="J1" s="1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1" t="s">
        <v>15</v>
      </c>
      <c r="Q1" s="1" t="s">
        <v>16</v>
      </c>
      <c r="R1" s="1" t="s">
        <v>17</v>
      </c>
      <c r="S1" s="5" t="s">
        <v>18</v>
      </c>
    </row>
    <row r="2" spans="1:19" ht="40.049999999999997" customHeight="1" thickTop="1" x14ac:dyDescent="0.3">
      <c r="A2" s="6">
        <v>5</v>
      </c>
      <c r="B2" s="7" t="s">
        <v>39</v>
      </c>
      <c r="C2" s="8" t="s">
        <v>40</v>
      </c>
      <c r="D2" s="7" t="s">
        <v>41</v>
      </c>
      <c r="E2" s="7" t="s">
        <v>42</v>
      </c>
      <c r="F2" s="7" t="s">
        <v>43</v>
      </c>
      <c r="G2" s="10">
        <v>898.3</v>
      </c>
      <c r="H2" s="11">
        <v>808</v>
      </c>
      <c r="I2" s="28" t="s">
        <v>26</v>
      </c>
      <c r="J2" s="9">
        <v>1</v>
      </c>
      <c r="K2" s="7" t="s">
        <v>25</v>
      </c>
      <c r="L2" s="12">
        <v>158898000</v>
      </c>
      <c r="M2" s="11">
        <f>IF(AND(ISNUMBER(L2),ISNUMBER(G2),G2&gt;0),L2/G2,"")</f>
        <v>176887.45407992875</v>
      </c>
      <c r="N2" s="13">
        <v>31779600</v>
      </c>
      <c r="O2" s="13">
        <v>1588980</v>
      </c>
      <c r="P2" s="14">
        <v>46335.625</v>
      </c>
      <c r="Q2" s="9">
        <f ca="1">IF(ISNUMBER(P2),MAX(0,INT(P2-TODAY())),"")</f>
        <v>20</v>
      </c>
      <c r="R2" s="14">
        <v>46343.416666666657</v>
      </c>
      <c r="S2" s="15" t="s">
        <v>27</v>
      </c>
    </row>
    <row r="3" spans="1:19" ht="40.049999999999997" customHeight="1" x14ac:dyDescent="0.3">
      <c r="A3" s="6">
        <v>9</v>
      </c>
      <c r="B3" s="7" t="s">
        <v>39</v>
      </c>
      <c r="C3" s="8" t="s">
        <v>51</v>
      </c>
      <c r="D3" s="7" t="s">
        <v>21</v>
      </c>
      <c r="E3" s="7" t="s">
        <v>52</v>
      </c>
      <c r="F3" s="7" t="s">
        <v>53</v>
      </c>
      <c r="G3" s="10">
        <v>1259.3</v>
      </c>
      <c r="H3" s="11">
        <v>621</v>
      </c>
      <c r="I3" s="28" t="s">
        <v>26</v>
      </c>
      <c r="J3" s="9">
        <v>3</v>
      </c>
      <c r="K3" s="28" t="s">
        <v>26</v>
      </c>
      <c r="L3" s="12">
        <v>289558721</v>
      </c>
      <c r="M3" s="11">
        <f>IF(AND(ISNUMBER(L3),ISNUMBER(G3),G3&gt;0),L3/G3,"")</f>
        <v>229936.25109187645</v>
      </c>
      <c r="N3" s="13">
        <v>57911744.200000003</v>
      </c>
      <c r="O3" s="13">
        <v>5791174.4199999999</v>
      </c>
      <c r="P3" s="14">
        <v>46351.999305555553</v>
      </c>
      <c r="Q3" s="9">
        <f ca="1">IF(ISNUMBER(P3),MAX(0,INT(P3-TODAY())),"")</f>
        <v>36</v>
      </c>
      <c r="R3" s="14">
        <v>46356.458333333343</v>
      </c>
      <c r="S3" s="15" t="s">
        <v>27</v>
      </c>
    </row>
    <row r="4" spans="1:19" ht="40.049999999999997" customHeight="1" x14ac:dyDescent="0.3">
      <c r="A4" s="16">
        <v>8</v>
      </c>
      <c r="B4" s="17" t="s">
        <v>48</v>
      </c>
      <c r="C4" s="18" t="s">
        <v>49</v>
      </c>
      <c r="D4" s="17" t="s">
        <v>21</v>
      </c>
      <c r="E4" s="17" t="s">
        <v>33</v>
      </c>
      <c r="F4" s="17" t="s">
        <v>50</v>
      </c>
      <c r="G4" s="20">
        <v>1030.0999999999999</v>
      </c>
      <c r="H4" s="21"/>
      <c r="I4" s="26" t="s">
        <v>26</v>
      </c>
      <c r="J4" s="19">
        <v>3</v>
      </c>
      <c r="K4" s="17" t="s">
        <v>31</v>
      </c>
      <c r="L4" s="22">
        <v>263000000</v>
      </c>
      <c r="M4" s="21">
        <f>IF(AND(ISNUMBER(L4),ISNUMBER(G4),G4&gt;0),L4/G4,"")</f>
        <v>255315.01795942144</v>
      </c>
      <c r="N4" s="23">
        <v>131500000</v>
      </c>
      <c r="O4" s="23">
        <v>2630000</v>
      </c>
      <c r="P4" s="24">
        <v>46339.625</v>
      </c>
      <c r="Q4" s="19">
        <f ca="1">IF(ISNUMBER(P4),MAX(0,INT(P4-TODAY())),"")</f>
        <v>24</v>
      </c>
      <c r="R4" s="24">
        <v>46346.416666666657</v>
      </c>
      <c r="S4" s="25" t="s">
        <v>27</v>
      </c>
    </row>
    <row r="5" spans="1:19" ht="40.049999999999997" customHeight="1" x14ac:dyDescent="0.3">
      <c r="A5" s="6">
        <v>3</v>
      </c>
      <c r="B5" s="7" t="s">
        <v>19</v>
      </c>
      <c r="C5" s="8" t="s">
        <v>32</v>
      </c>
      <c r="D5" s="7" t="s">
        <v>21</v>
      </c>
      <c r="E5" s="7" t="s">
        <v>33</v>
      </c>
      <c r="F5" s="7" t="s">
        <v>34</v>
      </c>
      <c r="G5" s="10">
        <v>167.1</v>
      </c>
      <c r="H5" s="11"/>
      <c r="I5" s="7" t="s">
        <v>24</v>
      </c>
      <c r="J5" s="9">
        <v>6</v>
      </c>
      <c r="K5" s="7" t="s">
        <v>25</v>
      </c>
      <c r="L5" s="12">
        <v>50797000</v>
      </c>
      <c r="M5" s="11">
        <f>IF(AND(ISNUMBER(L5),ISNUMBER(G5),G5&gt;0),L5/G5,"")</f>
        <v>303991.62178336328</v>
      </c>
      <c r="N5" s="13">
        <v>5079700</v>
      </c>
      <c r="O5" s="13">
        <v>2539850</v>
      </c>
      <c r="P5" s="14">
        <v>46335.625</v>
      </c>
      <c r="Q5" s="9">
        <f ca="1">IF(ISNUMBER(P5),MAX(0,INT(P5-TODAY())),"")</f>
        <v>20</v>
      </c>
      <c r="R5" s="14">
        <v>46343.416666666657</v>
      </c>
      <c r="S5" s="15" t="s">
        <v>27</v>
      </c>
    </row>
    <row r="6" spans="1:19" ht="40.049999999999997" customHeight="1" x14ac:dyDescent="0.3">
      <c r="A6" s="16">
        <v>6</v>
      </c>
      <c r="B6" s="17" t="s">
        <v>39</v>
      </c>
      <c r="C6" s="18" t="s">
        <v>44</v>
      </c>
      <c r="D6" s="17" t="s">
        <v>21</v>
      </c>
      <c r="E6" s="17" t="s">
        <v>36</v>
      </c>
      <c r="F6" s="17" t="s">
        <v>45</v>
      </c>
      <c r="G6" s="20">
        <v>634.4</v>
      </c>
      <c r="H6" s="21">
        <v>396</v>
      </c>
      <c r="I6" s="26" t="s">
        <v>26</v>
      </c>
      <c r="J6" s="19">
        <v>1</v>
      </c>
      <c r="K6" s="17" t="s">
        <v>25</v>
      </c>
      <c r="L6" s="22">
        <v>195014000</v>
      </c>
      <c r="M6" s="21">
        <f>IF(AND(ISNUMBER(L6),ISNUMBER(G6),G6&gt;0),L6/G6,"")</f>
        <v>307399.11727616645</v>
      </c>
      <c r="N6" s="23">
        <v>39002800</v>
      </c>
      <c r="O6" s="23">
        <v>1950140</v>
      </c>
      <c r="P6" s="24">
        <v>46335.625</v>
      </c>
      <c r="Q6" s="19">
        <f ca="1">IF(ISNUMBER(P6),MAX(0,INT(P6-TODAY())),"")</f>
        <v>20</v>
      </c>
      <c r="R6" s="24">
        <v>46343.416666666657</v>
      </c>
      <c r="S6" s="25" t="s">
        <v>27</v>
      </c>
    </row>
    <row r="7" spans="1:19" ht="40.049999999999997" customHeight="1" x14ac:dyDescent="0.3">
      <c r="A7" s="16">
        <v>4</v>
      </c>
      <c r="B7" s="17" t="s">
        <v>19</v>
      </c>
      <c r="C7" s="18" t="s">
        <v>35</v>
      </c>
      <c r="D7" s="17" t="s">
        <v>21</v>
      </c>
      <c r="E7" s="17" t="s">
        <v>36</v>
      </c>
      <c r="F7" s="17" t="s">
        <v>37</v>
      </c>
      <c r="G7" s="20">
        <v>315.5</v>
      </c>
      <c r="H7" s="21"/>
      <c r="I7" s="17" t="s">
        <v>38</v>
      </c>
      <c r="J7" s="19">
        <v>3</v>
      </c>
      <c r="K7" s="26" t="s">
        <v>26</v>
      </c>
      <c r="L7" s="22">
        <v>112951260</v>
      </c>
      <c r="M7" s="21">
        <f>IF(AND(ISNUMBER(L7),ISNUMBER(G7),G7&gt;0),L7/G7,"")</f>
        <v>358007.16323296353</v>
      </c>
      <c r="N7" s="23">
        <v>11295126</v>
      </c>
      <c r="O7" s="27" t="s">
        <v>26</v>
      </c>
      <c r="P7" s="24">
        <v>46369.583333333343</v>
      </c>
      <c r="Q7" s="19">
        <f ca="1">IF(ISNUMBER(P7),MAX(0,INT(P7-TODAY())),"")</f>
        <v>54</v>
      </c>
      <c r="R7" s="24">
        <v>46373.458333333343</v>
      </c>
      <c r="S7" s="25" t="s">
        <v>27</v>
      </c>
    </row>
    <row r="8" spans="1:19" ht="40.049999999999997" customHeight="1" x14ac:dyDescent="0.3">
      <c r="A8" s="6">
        <v>1</v>
      </c>
      <c r="B8" s="7" t="s">
        <v>19</v>
      </c>
      <c r="C8" s="8" t="s">
        <v>20</v>
      </c>
      <c r="D8" s="7" t="s">
        <v>21</v>
      </c>
      <c r="E8" s="7" t="s">
        <v>22</v>
      </c>
      <c r="F8" s="7" t="s">
        <v>23</v>
      </c>
      <c r="G8" s="10">
        <v>42.3</v>
      </c>
      <c r="H8" s="11"/>
      <c r="I8" s="7" t="s">
        <v>24</v>
      </c>
      <c r="J8" s="9">
        <v>3</v>
      </c>
      <c r="K8" s="7" t="s">
        <v>25</v>
      </c>
      <c r="L8" s="12">
        <v>15384000</v>
      </c>
      <c r="M8" s="11">
        <f>IF(AND(ISNUMBER(L8),ISNUMBER(G8),G8&gt;0),L8/G8,"")</f>
        <v>363687.9432624114</v>
      </c>
      <c r="N8" s="13">
        <v>1538400</v>
      </c>
      <c r="O8" s="13">
        <v>769200</v>
      </c>
      <c r="P8" s="14">
        <v>46335.625</v>
      </c>
      <c r="Q8" s="9">
        <f ca="1">IF(ISNUMBER(P8),MAX(0,INT(P8-TODAY())),"")</f>
        <v>20</v>
      </c>
      <c r="R8" s="14">
        <v>46344.416666666657</v>
      </c>
      <c r="S8" s="15" t="s">
        <v>27</v>
      </c>
    </row>
    <row r="9" spans="1:19" ht="40.049999999999997" customHeight="1" x14ac:dyDescent="0.3">
      <c r="A9" s="6">
        <v>7</v>
      </c>
      <c r="B9" s="7" t="s">
        <v>19</v>
      </c>
      <c r="C9" s="8" t="s">
        <v>46</v>
      </c>
      <c r="D9" s="7" t="s">
        <v>21</v>
      </c>
      <c r="E9" s="7" t="s">
        <v>22</v>
      </c>
      <c r="F9" s="7" t="s">
        <v>47</v>
      </c>
      <c r="G9" s="10">
        <v>431.2</v>
      </c>
      <c r="H9" s="11"/>
      <c r="I9" s="7" t="s">
        <v>24</v>
      </c>
      <c r="J9" s="9"/>
      <c r="K9" s="7" t="s">
        <v>31</v>
      </c>
      <c r="L9" s="12">
        <v>239527000</v>
      </c>
      <c r="M9" s="11">
        <f>IF(AND(ISNUMBER(L9),ISNUMBER(G9),G9&gt;0),L9/G9,"")</f>
        <v>555489.33209647494</v>
      </c>
      <c r="N9" s="13">
        <v>47905400</v>
      </c>
      <c r="O9" s="13">
        <v>2395270</v>
      </c>
      <c r="P9" s="14">
        <v>46342.625</v>
      </c>
      <c r="Q9" s="9">
        <f ca="1">IF(ISNUMBER(P9),MAX(0,INT(P9-TODAY())),"")</f>
        <v>27</v>
      </c>
      <c r="R9" s="14">
        <v>46350.416666666657</v>
      </c>
      <c r="S9" s="15" t="s">
        <v>27</v>
      </c>
    </row>
    <row r="10" spans="1:19" ht="40.049999999999997" customHeight="1" x14ac:dyDescent="0.3">
      <c r="A10" s="16">
        <v>2</v>
      </c>
      <c r="B10" s="17" t="s">
        <v>19</v>
      </c>
      <c r="C10" s="18" t="s">
        <v>28</v>
      </c>
      <c r="D10" s="17" t="s">
        <v>21</v>
      </c>
      <c r="E10" s="17" t="s">
        <v>29</v>
      </c>
      <c r="F10" s="17" t="s">
        <v>30</v>
      </c>
      <c r="G10" s="20">
        <v>13.1</v>
      </c>
      <c r="H10" s="21"/>
      <c r="I10" s="17" t="s">
        <v>24</v>
      </c>
      <c r="J10" s="19">
        <v>2</v>
      </c>
      <c r="K10" s="17" t="s">
        <v>31</v>
      </c>
      <c r="L10" s="22">
        <v>17225000</v>
      </c>
      <c r="M10" s="21">
        <f>IF(AND(ISNUMBER(L10),ISNUMBER(G10),G10&gt;0),L10/G10,"")</f>
        <v>1314885.4961832061</v>
      </c>
      <c r="N10" s="23">
        <v>1722500</v>
      </c>
      <c r="O10" s="23">
        <v>861250</v>
      </c>
      <c r="P10" s="24">
        <v>46337.625</v>
      </c>
      <c r="Q10" s="19">
        <f ca="1">IF(ISNUMBER(P10),MAX(0,INT(P10-TODAY())),"")</f>
        <v>22</v>
      </c>
      <c r="R10" s="24">
        <v>46346.416666666657</v>
      </c>
      <c r="S10" s="25" t="s">
        <v>27</v>
      </c>
    </row>
  </sheetData>
  <conditionalFormatting sqref="K2:K10">
    <cfRule type="cellIs" dxfId="3" priority="2" operator="equal">
      <formula>"Да"</formula>
    </cfRule>
  </conditionalFormatting>
  <conditionalFormatting sqref="M2:M10">
    <cfRule type="dataBar" priority="1">
      <dataBar>
        <cfvo type="num" val="0"/>
        <cfvo type="max"/>
        <color rgb="FFF4A493"/>
      </dataBar>
    </cfRule>
  </conditionalFormatting>
  <conditionalFormatting sqref="Q2:Q10">
    <cfRule type="expression" dxfId="2" priority="3">
      <formula>AND(ISNUMBER(Q2),Q2&lt;=14)</formula>
    </cfRule>
    <cfRule type="expression" dxfId="1" priority="4">
      <formula>AND(ISNUMBER(Q2),AND(Q2&gt;14,Q2&lt;=30))</formula>
    </cfRule>
    <cfRule type="expression" dxfId="0" priority="5">
      <formula>AND(ISNUMBER(Q2),Q2&gt;30)</formula>
    </cfRule>
  </conditionalFormatting>
  <hyperlinks>
    <hyperlink ref="S8" r:id="rId1" xr:uid="{00000000-0004-0000-0000-000000000000}"/>
    <hyperlink ref="S10" r:id="rId2" xr:uid="{00000000-0004-0000-0000-000003000000}"/>
    <hyperlink ref="S5" r:id="rId3" xr:uid="{00000000-0004-0000-0000-000006000000}"/>
    <hyperlink ref="S7" r:id="rId4" xr:uid="{00000000-0004-0000-0000-000009000000}"/>
    <hyperlink ref="S2" r:id="rId5" xr:uid="{00000000-0004-0000-0000-00000B000000}"/>
    <hyperlink ref="S6" r:id="rId6" xr:uid="{00000000-0004-0000-0000-00000E000000}"/>
    <hyperlink ref="S9" r:id="rId7" xr:uid="{00000000-0004-0000-0000-000011000000}"/>
    <hyperlink ref="S4" r:id="rId8" xr:uid="{00000000-0004-0000-0000-000014000000}"/>
    <hyperlink ref="S3" r:id="rId9" xr:uid="{00000000-0004-0000-0000-000016000000}"/>
  </hyperlinks>
  <pageMargins left="0.75" right="0.75" top="1" bottom="1" header="0.5" footer="0.5"/>
  <pageSetup paperSize="9" scale="44" fitToHeight="0" orientation="landscape" r:id="rId10"/>
  <legacyDrawing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Реестр</vt:lpstr>
      <vt:lpstr>Реестр!Заголовки_для_печати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Андрей</cp:lastModifiedBy>
  <cp:lastPrinted>2026-10-20T13:55:46Z</cp:lastPrinted>
  <dcterms:created xsi:type="dcterms:W3CDTF">2026-10-20T13:52:32Z</dcterms:created>
  <dcterms:modified xsi:type="dcterms:W3CDTF">2026-10-20T13:57:05Z</dcterms:modified>
</cp:coreProperties>
</file>