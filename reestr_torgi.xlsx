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Обзор" sheetId="2" state="visible" r:id="rId2"/>
    <sheet xmlns:r="http://schemas.openxmlformats.org/officeDocument/2006/relationships" name="Сортировка" sheetId="3" state="visible" r:id="rId3"/>
    <sheet xmlns:r="http://schemas.openxmlformats.org/officeDocument/2006/relationships" name="_calc" sheetId="4" state="hidden" r:id="rId4"/>
    <sheet xmlns:r="http://schemas.openxmlformats.org/officeDocument/2006/relationships" name="_chart" sheetId="5" state="hidden" r:id="rId5"/>
  </sheets>
  <definedNames>
    <definedName name="_xlnm.Print_Titles" localSheetId="0">'Реестр'!$1:$1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#,##0.0"/>
    <numFmt numFmtId="165" formatCode="yyyy-mm-dd h:mm:ss"/>
    <numFmt numFmtId="166" formatCode="dd.mm.yyyy hh:mm"/>
    <numFmt numFmtId="167" formatCode="dd.mm.yyyy"/>
    <numFmt numFmtId="168" formatCode="#,##0.##"/>
    <numFmt numFmtId="169" formatCode="#,##0.0&quot; млн ₽&quot;"/>
    <numFmt numFmtId="170" formatCode="#,##0&quot; м²&quot;"/>
    <numFmt numFmtId="171" formatCode="#,##0&quot; ₽&quot;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2328"/>
      <sz val="10"/>
    </font>
    <font>
      <name val="Arial"/>
      <color rgb="009AA0A6"/>
      <sz val="10"/>
    </font>
    <font>
      <name val="Arial"/>
      <color rgb="00E0533D"/>
      <sz val="10"/>
      <u val="single"/>
    </font>
    <font>
      <name val="Arial"/>
      <b val="1"/>
      <color rgb="00E0533D"/>
      <sz val="10"/>
    </font>
    <font>
      <name val="Arial"/>
      <b val="1"/>
      <color rgb="001F2328"/>
      <sz val="10"/>
    </font>
    <font>
      <name val="Arial"/>
      <b val="1"/>
      <color rgb="001F2328"/>
      <sz val="11"/>
    </font>
    <font>
      <name val="Arial"/>
      <color rgb="005F6368"/>
      <sz val="10"/>
    </font>
    <font>
      <name val="Arial"/>
      <b val="1"/>
      <color rgb="00E0533D"/>
      <sz val="11"/>
    </font>
    <font>
      <name val="Arial"/>
      <b val="1"/>
      <color rgb="00E0533D"/>
      <sz val="12"/>
    </font>
    <font>
      <name val="Arial"/>
      <b val="1"/>
      <color rgb="006B6F76"/>
      <sz val="8"/>
    </font>
    <font>
      <name val="Arial"/>
      <b val="1"/>
      <color rgb="002B2D31"/>
      <sz val="18"/>
    </font>
    <font>
      <name val="Arial"/>
      <color rgb="006B6F76"/>
      <sz val="8"/>
    </font>
  </fonts>
  <fills count="5">
    <fill>
      <patternFill/>
    </fill>
    <fill>
      <patternFill patternType="gray125"/>
    </fill>
    <fill>
      <patternFill patternType="solid">
        <fgColor rgb="002B2D31"/>
      </patternFill>
    </fill>
    <fill>
      <patternFill patternType="solid">
        <fgColor rgb="00FAFAF9"/>
      </patternFill>
    </fill>
    <fill>
      <patternFill patternType="solid">
        <fgColor rgb="00FDECE8"/>
      </patternFill>
    </fill>
  </fills>
  <borders count="7">
    <border>
      <left/>
      <right/>
      <top/>
      <bottom/>
      <diagonal/>
    </border>
    <border>
      <bottom style="thick">
        <color rgb="00E0533D"/>
      </bottom>
    </border>
    <border>
      <left style="medium">
        <color rgb="00E0533D"/>
      </left>
      <bottom style="thick">
        <color rgb="00E0533D"/>
      </bottom>
    </border>
    <border>
      <bottom style="thin">
        <color rgb="00E6E7EA"/>
      </bottom>
    </border>
    <border>
      <left style="medium">
        <color rgb="00E0533D"/>
      </left>
      <bottom style="thin">
        <color rgb="00E6E7EA"/>
      </bottom>
    </border>
    <border>
      <bottom style="medium">
        <color rgb="00E0533D"/>
      </bottom>
    </border>
    <border>
      <left style="thick">
        <color rgb="00E0533D"/>
      </left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 indent="1"/>
    </xf>
    <xf numFmtId="0" fontId="1" fillId="2" borderId="1" applyAlignment="1" pivotButton="0" quotePrefix="0" xfId="0">
      <alignment horizontal="left" vertical="center" wrapText="1" indent="1"/>
    </xf>
    <xf numFmtId="0" fontId="1" fillId="2" borderId="2" applyAlignment="1" pivotButton="0" quotePrefix="0" xfId="0">
      <alignment horizontal="right" vertical="center" wrapText="1" indent="1"/>
    </xf>
    <xf numFmtId="0" fontId="1" fillId="2" borderId="1" applyAlignment="1" pivotButton="0" quotePrefix="0" xfId="0">
      <alignment horizontal="right" vertical="center" wrapText="1" indent="1"/>
    </xf>
    <xf numFmtId="0" fontId="1" fillId="2" borderId="2" applyAlignment="1" pivotButton="0" quotePrefix="0" xfId="0">
      <alignment horizontal="center" vertical="center" wrapText="1" indent="1"/>
    </xf>
    <xf numFmtId="0" fontId="1" fillId="2" borderId="2" applyAlignment="1" pivotButton="0" quotePrefix="0" xfId="0">
      <alignment horizontal="left" vertical="center" wrapText="1" indent="1"/>
    </xf>
    <xf numFmtId="0" fontId="5" fillId="0" borderId="3" applyAlignment="1" pivotButton="0" quotePrefix="0" xfId="0">
      <alignment horizontal="center" vertical="center" indent="1"/>
    </xf>
    <xf numFmtId="0" fontId="2" fillId="0" borderId="3" applyAlignment="1" pivotButton="0" quotePrefix="0" xfId="0">
      <alignment horizontal="left" vertical="center" wrapText="1" indent="1"/>
    </xf>
    <xf numFmtId="0" fontId="6" fillId="0" borderId="3" applyAlignment="1" pivotButton="0" quotePrefix="0" xfId="0">
      <alignment horizontal="left" vertical="center" wrapText="1" indent="1"/>
    </xf>
    <xf numFmtId="0" fontId="2" fillId="0" borderId="3" applyAlignment="1" pivotButton="0" quotePrefix="0" xfId="0">
      <alignment horizontal="center" vertical="center" wrapText="1" indent="1"/>
    </xf>
    <xf numFmtId="0" fontId="2" fillId="0" borderId="3" applyAlignment="1" pivotButton="0" quotePrefix="0" xfId="0">
      <alignment horizontal="center" vertical="center" indent="1"/>
    </xf>
    <xf numFmtId="164" fontId="2" fillId="0" borderId="4" applyAlignment="1" pivotButton="0" quotePrefix="0" xfId="0">
      <alignment horizontal="right" vertical="center" indent="1"/>
    </xf>
    <xf numFmtId="3" fontId="2" fillId="0" borderId="3" applyAlignment="1" pivotButton="0" quotePrefix="0" xfId="0">
      <alignment horizontal="right" vertical="center" indent="1"/>
    </xf>
    <xf numFmtId="0" fontId="2" fillId="0" borderId="3" applyAlignment="1" pivotButton="0" quotePrefix="0" xfId="0">
      <alignment horizontal="left" vertical="center" indent="1"/>
    </xf>
    <xf numFmtId="0" fontId="3" fillId="0" borderId="3" applyAlignment="1" pivotButton="0" quotePrefix="0" xfId="0">
      <alignment horizontal="left" vertical="center" indent="1"/>
    </xf>
    <xf numFmtId="3" fontId="7" fillId="0" borderId="4" applyAlignment="1" pivotButton="0" quotePrefix="0" xfId="0">
      <alignment horizontal="right" vertical="center" indent="1"/>
    </xf>
    <xf numFmtId="4" fontId="2" fillId="0" borderId="3" applyAlignment="1" pivotButton="0" quotePrefix="0" xfId="0">
      <alignment horizontal="right" vertical="center" indent="1"/>
    </xf>
    <xf numFmtId="166" fontId="2" fillId="0" borderId="4" applyAlignment="1" pivotButton="0" quotePrefix="0" xfId="0">
      <alignment horizontal="center" vertical="center" indent="1"/>
    </xf>
    <xf numFmtId="166" fontId="2" fillId="0" borderId="3" applyAlignment="1" pivotButton="0" quotePrefix="0" xfId="0">
      <alignment horizontal="center" vertical="center" indent="1"/>
    </xf>
    <xf numFmtId="0" fontId="4" fillId="0" borderId="4" applyAlignment="1" pivotButton="0" quotePrefix="0" xfId="0">
      <alignment horizontal="center" vertical="center" indent="1"/>
    </xf>
    <xf numFmtId="0" fontId="4" fillId="0" borderId="3" applyAlignment="1" pivotButton="0" quotePrefix="0" xfId="0">
      <alignment horizontal="center" vertical="center" indent="1"/>
    </xf>
    <xf numFmtId="0" fontId="2" fillId="0" borderId="4" applyAlignment="1" pivotButton="0" quotePrefix="0" xfId="0">
      <alignment horizontal="left" vertical="center" wrapText="1" indent="1"/>
    </xf>
    <xf numFmtId="0" fontId="5" fillId="3" borderId="3" applyAlignment="1" pivotButton="0" quotePrefix="0" xfId="0">
      <alignment horizontal="center" vertical="center" indent="1"/>
    </xf>
    <xf numFmtId="0" fontId="2" fillId="3" borderId="3" applyAlignment="1" pivotButton="0" quotePrefix="0" xfId="0">
      <alignment horizontal="left" vertical="center" wrapText="1" indent="1"/>
    </xf>
    <xf numFmtId="0" fontId="6" fillId="3" borderId="3" applyAlignment="1" pivotButton="0" quotePrefix="0" xfId="0">
      <alignment horizontal="left" vertical="center" wrapText="1" indent="1"/>
    </xf>
    <xf numFmtId="0" fontId="2" fillId="3" borderId="3" applyAlignment="1" pivotButton="0" quotePrefix="0" xfId="0">
      <alignment horizontal="center" vertical="center" wrapText="1" indent="1"/>
    </xf>
    <xf numFmtId="0" fontId="2" fillId="3" borderId="3" applyAlignment="1" pivotButton="0" quotePrefix="0" xfId="0">
      <alignment horizontal="center" vertical="center" indent="1"/>
    </xf>
    <xf numFmtId="164" fontId="2" fillId="3" borderId="4" applyAlignment="1" pivotButton="0" quotePrefix="0" xfId="0">
      <alignment horizontal="right" vertical="center" indent="1"/>
    </xf>
    <xf numFmtId="3" fontId="2" fillId="3" borderId="3" applyAlignment="1" pivotButton="0" quotePrefix="0" xfId="0">
      <alignment horizontal="right" vertical="center" indent="1"/>
    </xf>
    <xf numFmtId="0" fontId="2" fillId="3" borderId="3" applyAlignment="1" pivotButton="0" quotePrefix="0" xfId="0">
      <alignment horizontal="left" vertical="center" indent="1"/>
    </xf>
    <xf numFmtId="0" fontId="3" fillId="3" borderId="3" applyAlignment="1" pivotButton="0" quotePrefix="0" xfId="0">
      <alignment horizontal="left" vertical="center" indent="1"/>
    </xf>
    <xf numFmtId="3" fontId="7" fillId="3" borderId="4" applyAlignment="1" pivotButton="0" quotePrefix="0" xfId="0">
      <alignment horizontal="right" vertical="center" indent="1"/>
    </xf>
    <xf numFmtId="4" fontId="2" fillId="3" borderId="3" applyAlignment="1" pivotButton="0" quotePrefix="0" xfId="0">
      <alignment horizontal="right" vertical="center" indent="1"/>
    </xf>
    <xf numFmtId="166" fontId="2" fillId="3" borderId="4" applyAlignment="1" pivotButton="0" quotePrefix="0" xfId="0">
      <alignment horizontal="center" vertical="center" indent="1"/>
    </xf>
    <xf numFmtId="166" fontId="2" fillId="3" borderId="3" applyAlignment="1" pivotButton="0" quotePrefix="0" xfId="0">
      <alignment horizontal="center" vertical="center" indent="1"/>
    </xf>
    <xf numFmtId="0" fontId="4" fillId="3" borderId="4" applyAlignment="1" pivotButton="0" quotePrefix="0" xfId="0">
      <alignment horizontal="center" vertical="center" indent="1"/>
    </xf>
    <xf numFmtId="0" fontId="4" fillId="3" borderId="3" applyAlignment="1" pivotButton="0" quotePrefix="0" xfId="0">
      <alignment horizontal="center" vertical="center" indent="1"/>
    </xf>
    <xf numFmtId="0" fontId="2" fillId="3" borderId="4" applyAlignment="1" pivotButton="0" quotePrefix="0" xfId="0">
      <alignment horizontal="left" vertical="center" wrapText="1" indent="1"/>
    </xf>
    <xf numFmtId="0" fontId="3" fillId="3" borderId="3" applyAlignment="1" pivotButton="0" quotePrefix="0" xfId="0">
      <alignment horizontal="center" vertical="center" wrapText="1" indent="1"/>
    </xf>
    <xf numFmtId="0" fontId="3" fillId="3" borderId="3" applyAlignment="1" pivotButton="0" quotePrefix="0" xfId="0">
      <alignment horizontal="left" vertical="center" wrapText="1" indent="1"/>
    </xf>
    <xf numFmtId="4" fontId="3" fillId="3" borderId="3" applyAlignment="1" pivotButton="0" quotePrefix="0" xfId="0">
      <alignment horizontal="right" vertical="center" indent="1"/>
    </xf>
    <xf numFmtId="166" fontId="3" fillId="3" borderId="3" applyAlignment="1" pivotButton="0" quotePrefix="0" xfId="0">
      <alignment horizontal="center" vertical="center" indent="1"/>
    </xf>
    <xf numFmtId="0" fontId="3" fillId="0" borderId="3" applyAlignment="1" pivotButton="0" quotePrefix="0" xfId="0">
      <alignment horizontal="left" vertical="center" wrapText="1" indent="1"/>
    </xf>
    <xf numFmtId="0" fontId="3" fillId="0" borderId="3" applyAlignment="1" pivotButton="0" quotePrefix="0" xfId="0">
      <alignment horizontal="center" vertical="center" wrapText="1" indent="1"/>
    </xf>
    <xf numFmtId="166" fontId="3" fillId="0" borderId="3" applyAlignment="1" pivotButton="0" quotePrefix="0" xfId="0">
      <alignment horizontal="center" vertical="center" indent="1"/>
    </xf>
    <xf numFmtId="0" fontId="11" fillId="3" borderId="6" applyAlignment="1" pivotButton="0" quotePrefix="0" xfId="0">
      <alignment horizontal="left" vertical="center" indent="1"/>
    </xf>
    <xf numFmtId="0" fontId="0" fillId="3" borderId="0" pivotButton="0" quotePrefix="0" xfId="0"/>
    <xf numFmtId="1" fontId="12" fillId="3" borderId="6" applyAlignment="1" pivotButton="0" quotePrefix="0" xfId="0">
      <alignment horizontal="left" vertical="center" indent="1"/>
    </xf>
    <xf numFmtId="169" fontId="12" fillId="3" borderId="6" applyAlignment="1" pivotButton="0" quotePrefix="0" xfId="0">
      <alignment horizontal="left" vertical="center" indent="1"/>
    </xf>
    <xf numFmtId="170" fontId="12" fillId="3" borderId="6" applyAlignment="1" pivotButton="0" quotePrefix="0" xfId="0">
      <alignment horizontal="left" vertical="center" indent="1"/>
    </xf>
    <xf numFmtId="171" fontId="12" fillId="3" borderId="6" applyAlignment="1" pivotButton="0" quotePrefix="0" xfId="0">
      <alignment horizontal="left" vertical="center" indent="1"/>
    </xf>
    <xf numFmtId="167" fontId="12" fillId="3" borderId="6" applyAlignment="1" pivotButton="0" quotePrefix="0" xfId="0">
      <alignment horizontal="left" vertical="center" indent="1"/>
    </xf>
    <xf numFmtId="0" fontId="13" fillId="3" borderId="6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right" vertical="center" indent="1"/>
    </xf>
    <xf numFmtId="0" fontId="9" fillId="4" borderId="5" applyAlignment="1" pivotButton="0" quotePrefix="0" xfId="0">
      <alignment horizontal="left" vertical="center" indent="1"/>
    </xf>
    <xf numFmtId="0" fontId="0" fillId="4" borderId="5" pivotButton="0" quotePrefix="0" xfId="0"/>
    <xf numFmtId="0" fontId="10" fillId="4" borderId="3" applyAlignment="1" pivotButton="0" quotePrefix="0" xfId="0">
      <alignment horizontal="center" vertical="center" indent="1"/>
    </xf>
    <xf numFmtId="0" fontId="6" fillId="4" borderId="3" applyAlignment="1" pivotButton="0" quotePrefix="0" xfId="0">
      <alignment horizontal="left" vertical="center" wrapText="1" indent="1"/>
    </xf>
    <xf numFmtId="0" fontId="2" fillId="4" borderId="3" applyAlignment="1" pivotButton="0" quotePrefix="0" xfId="0">
      <alignment horizontal="left" vertical="center" wrapText="1" indent="1"/>
    </xf>
    <xf numFmtId="164" fontId="2" fillId="4" borderId="3" applyAlignment="1" pivotButton="0" quotePrefix="0" xfId="0">
      <alignment horizontal="right" vertical="center" indent="1"/>
    </xf>
    <xf numFmtId="3" fontId="2" fillId="4" borderId="3" applyAlignment="1" pivotButton="0" quotePrefix="0" xfId="0">
      <alignment horizontal="right" vertical="center" indent="1"/>
    </xf>
    <xf numFmtId="167" fontId="2" fillId="4" borderId="3" applyAlignment="1" pivotButton="0" quotePrefix="0" xfId="0">
      <alignment horizontal="center" vertical="center" indent="1"/>
    </xf>
    <xf numFmtId="168" fontId="9" fillId="4" borderId="3" applyAlignment="1" pivotButton="0" quotePrefix="0" xfId="0">
      <alignment horizontal="right" vertical="center" indent="1"/>
    </xf>
    <xf numFmtId="0" fontId="2" fillId="4" borderId="3" applyAlignment="1" pivotButton="0" quotePrefix="0" xfId="0">
      <alignment horizontal="center" vertical="center" indent="1"/>
    </xf>
    <xf numFmtId="0" fontId="10" fillId="3" borderId="3" applyAlignment="1" pivotButton="0" quotePrefix="0" xfId="0">
      <alignment horizontal="center" vertical="center" indent="1"/>
    </xf>
    <xf numFmtId="164" fontId="2" fillId="3" borderId="3" applyAlignment="1" pivotButton="0" quotePrefix="0" xfId="0">
      <alignment horizontal="right" vertical="center" indent="1"/>
    </xf>
    <xf numFmtId="167" fontId="2" fillId="3" borderId="3" applyAlignment="1" pivotButton="0" quotePrefix="0" xfId="0">
      <alignment horizontal="center" vertical="center" indent="1"/>
    </xf>
    <xf numFmtId="168" fontId="9" fillId="3" borderId="3" applyAlignment="1" pivotButton="0" quotePrefix="0" xfId="0">
      <alignment horizontal="right" vertical="center" indent="1"/>
    </xf>
    <xf numFmtId="0" fontId="10" fillId="0" borderId="3" applyAlignment="1" pivotButton="0" quotePrefix="0" xfId="0">
      <alignment horizontal="center" vertical="center" indent="1"/>
    </xf>
    <xf numFmtId="164" fontId="2" fillId="0" borderId="3" applyAlignment="1" pivotButton="0" quotePrefix="0" xfId="0">
      <alignment horizontal="right" vertical="center" indent="1"/>
    </xf>
    <xf numFmtId="167" fontId="2" fillId="0" borderId="3" applyAlignment="1" pivotButton="0" quotePrefix="0" xfId="0">
      <alignment horizontal="center" vertical="center" indent="1"/>
    </xf>
    <xf numFmtId="168" fontId="9" fillId="0" borderId="3" applyAlignment="1" pivotButton="0" quotePrefix="0" xfId="0">
      <alignment horizontal="right" vertical="center" indent="1"/>
    </xf>
    <xf numFmtId="3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ont>
        <name val="Arial"/>
        <b val="1"/>
        <color rgb="009A5B00"/>
      </font>
      <fill>
        <patternFill patternType="solid">
          <fgColor rgb="00FFF1D6"/>
        </patternFill>
      </fill>
    </dxf>
    <dxf>
      <font>
        <name val="Arial"/>
        <b val="1"/>
        <color rgb="00B42318"/>
      </font>
      <fill>
        <patternFill patternType="solid">
          <fgColor rgb="00FDE2E1"/>
        </patternFill>
      </fill>
    </dxf>
    <dxf>
      <font>
        <name val="Arial"/>
        <b val="1"/>
        <color rgb="001E7B45"/>
      </font>
      <fill>
        <patternFill patternType="solid">
          <fgColor rgb="00E3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1F2328"/>
                </a:solidFill>
                <a:latin typeface="Arial"/>
              </a:defRPr>
            </a:pPr>
            <a:r>
              <a:rPr sz="1200" b="1">
                <a:solidFill>
                  <a:srgbClr val="1F2328"/>
                </a:solidFill>
                <a:latin typeface="Arial"/>
              </a:rPr>
              <a:t>Цена за м², тыс. ₽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E0533D"/>
            </a:solidFill>
            <a:ln xmlns:a="http://schemas.openxmlformats.org/drawingml/2006/main">
              <a:noFill/>
              <a:prstDash val="solid"/>
            </a:ln>
          </spP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1F2328"/>
                    </a:solidFill>
                    <a:latin typeface="Arial"/>
                  </a:defRPr>
                </a:pPr>
                <a:r>
                  <a:t/>
                </a:r>
                <a:endParaRPr sz="900" b="1">
                  <a:solidFill>
                    <a:srgbClr val="1F2328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'_chart'!$O$2:$O$10</f>
            </numRef>
          </cat>
          <val>
            <numRef>
              <f>'_chart'!$P$2:$P$10</f>
            </numRef>
          </val>
        </ser>
        <gapWidth val="4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1F2328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1F2328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1F2328"/>
                </a:solidFill>
                <a:latin typeface="Arial"/>
              </a:defRPr>
            </a:pPr>
            <a:r>
              <a:rPr sz="1200" b="1">
                <a:solidFill>
                  <a:srgbClr val="1F2328"/>
                </a:solidFill>
                <a:latin typeface="Arial"/>
              </a:rPr>
              <a:t>Начальная цена, млн ₽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E0533D"/>
            </a:solidFill>
            <a:ln xmlns:a="http://schemas.openxmlformats.org/drawingml/2006/main">
              <a:noFill/>
              <a:prstDash val="solid"/>
            </a:ln>
          </spPr>
          <dLbls>
            <numFmt formatCode="#,##0.0"/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1F2328"/>
                    </a:solidFill>
                    <a:latin typeface="Arial"/>
                  </a:defRPr>
                </a:pPr>
                <a:r>
                  <a:t/>
                </a:r>
                <a:endParaRPr sz="900" b="1">
                  <a:solidFill>
                    <a:srgbClr val="1F2328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'_chart'!$Q$2:$Q$10</f>
            </numRef>
          </cat>
          <val>
            <numRef>
              <f>'_chart'!$R$2:$R$10</f>
            </numRef>
          </val>
        </ser>
        <gapWidth val="4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1F2328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1F2328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1F2328"/>
                </a:solidFill>
                <a:latin typeface="Arial"/>
              </a:defRPr>
            </a:pPr>
            <a:r>
              <a:rPr sz="1200" b="1">
                <a:solidFill>
                  <a:srgbClr val="1F2328"/>
                </a:solidFill>
                <a:latin typeface="Arial"/>
              </a:rPr>
              <a:t>График торгов: приём заявок → аукцион</a:t>
            </a:r>
          </a:p>
        </rich>
      </tx>
      <overlay val="0"/>
    </title>
    <plotArea>
      <barChart>
        <barDir val="bar"/>
        <grouping val="stacked"/>
        <ser>
          <idx val="0"/>
          <order val="0"/>
          <tx>
            <v>Старт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'_chart'!$U$2:$U$10</f>
            </numRef>
          </cat>
          <val>
            <numRef>
              <f>'_chart'!$V$2:$V$10</f>
            </numRef>
          </val>
        </ser>
        <ser>
          <idx val="1"/>
          <order val="1"/>
          <tx>
            <v>Приём заявок</v>
          </tx>
          <spPr>
            <a:solidFill xmlns:a="http://schemas.openxmlformats.org/drawingml/2006/main">
              <a:srgbClr val="E0533D"/>
            </a:solidFill>
            <a:ln xmlns:a="http://schemas.openxmlformats.org/drawingml/2006/main" w="19050">
              <a:solidFill>
                <a:srgbClr val="FFFFFF"/>
              </a:solidFill>
              <a:prstDash val="solid"/>
            </a:ln>
          </spPr>
          <cat>
            <numRef>
              <f>'_chart'!$U$2:$U$10</f>
            </numRef>
          </cat>
          <val>
            <numRef>
              <f>'_chart'!$W$2:$W$10</f>
            </numRef>
          </val>
        </ser>
        <ser>
          <idx val="2"/>
          <order val="2"/>
          <tx>
            <v>От конца приёма до торгов</v>
          </tx>
          <spPr>
            <a:solidFill xmlns:a="http://schemas.openxmlformats.org/drawingml/2006/main">
              <a:srgbClr val="3B6EA8"/>
            </a:solidFill>
            <a:ln xmlns:a="http://schemas.openxmlformats.org/drawingml/2006/main" w="19050">
              <a:solidFill>
                <a:srgbClr val="FFFFFF"/>
              </a:solidFill>
              <a:prstDash val="solid"/>
            </a:ln>
          </spPr>
          <cat>
            <numRef>
              <f>'_chart'!$U$2:$U$10</f>
            </numRef>
          </cat>
          <val>
            <numRef>
              <f>'_chart'!$X$2:$X$10</f>
            </numRef>
          </val>
        </ser>
        <gapWidth val="4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1F2328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1F2328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ax val="46376"/>
          <min val="46277"/>
        </scaling>
        <delete val="0"/>
        <axPos val="l"/>
        <majorGridlines>
          <spPr>
            <a:ln xmlns:a="http://schemas.openxmlformats.org/drawingml/2006/main">
              <a:solidFill>
                <a:srgbClr val="ECECEC"/>
              </a:solidFill>
              <a:prstDash val="solid"/>
            </a:ln>
          </spPr>
        </majorGridlines>
        <numFmt formatCode="dd.mm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6F76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6F76"/>
              </a:solidFill>
              <a:latin typeface="Arial"/>
            </a:endParaRPr>
          </a:p>
        </txPr>
        <crossAx val="10"/>
        <majorUnit val="7"/>
      </valAx>
    </plotArea>
    <legend>
      <legendPos val="t"/>
      <legendEntry>
        <idx val="0"/>
        <delete val="1"/>
      </legendEntry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1F2328"/>
              </a:solidFill>
              <a:latin typeface="Arial"/>
            </a:defRPr>
          </a:pPr>
          <a:r>
            <a:t/>
          </a:r>
          <a:endParaRPr sz="900" b="0">
            <a:solidFill>
              <a:srgbClr val="1F2328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omments/comment1.xml><?xml version="1.0" encoding="utf-8"?>
<comments xmlns="http://schemas.openxmlformats.org/spreadsheetml/2006/main">
  <authors>
    <author>Источник</author>
  </authors>
  <commentList>
    <comment ref="H5" authorId="0" shapeId="0">
      <text>
        <t>Площадь 315,5 м² взята из объявления Абсолют Банка на ЦИАН (та же цена — 112,95 млн ₽, с НДС 22%). На странице roseltorg площадь не указана — она есть только в аукционной документации (.doc).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5</row>
      <rowOff>0</rowOff>
    </from>
    <ext cx="5256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5</row>
      <rowOff>0</rowOff>
    </from>
    <ext cx="5256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24</row>
      <rowOff>0</rowOff>
    </from>
    <ext cx="10908000" cy="37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estr" displayName="Reestr" ref="A1:AI10" headerRowCount="1">
  <autoFilter ref="A1:AI10"/>
  <tableColumns count="35">
    <tableColumn id="1" name="№"/>
    <tableColumn id="2" name="Тип объекта"/>
    <tableColumn id="3" name="Адрес"/>
    <tableColumn id="4" name="Округ"/>
    <tableColumn id="5" name="Район"/>
    <tableColumn id="6" name="Метро"/>
    <tableColumn id="7" name="До метро, мин"/>
    <tableColumn id="8" name="Площадь, м²"/>
    <tableColumn id="9" name="Участок, м²"/>
    <tableColumn id="10" name="Этаж"/>
    <tableColumn id="11" name="Этажность"/>
    <tableColumn id="12" name="ОКН"/>
    <tableColumn id="13" name="Назначение"/>
    <tableColumn id="14" name="Вход"/>
    <tableColumn id="15" name="Арендатор"/>
    <tableColumn id="16" name="Обременения"/>
    <tableColumn id="17" name="Кадастровый № объекта"/>
    <tableColumn id="18" name="Кадастровый № участка"/>
    <tableColumn id="19" name="Начальная цена, ₽"/>
    <tableColumn id="20" name="Цена за м², ₽"/>
    <tableColumn id="21" name="Задаток, ₽"/>
    <tableColumn id="22" name="Шаг аукциона, ₽"/>
    <tableColumn id="23" name="Форма торгов"/>
    <tableColumn id="24" name="Приём заявок с"/>
    <tableColumn id="25" name="Приём заявок до"/>
    <tableColumn id="26" name="Дней до конца приёма"/>
    <tableColumn id="27" name="Отбор участников"/>
    <tableColumn id="28" name="Дата торгов"/>
    <tableColumn id="29" name="Подведение итогов"/>
    <tableColumn id="30" name="Карточка"/>
    <tableColumn id="31" name="Процедура на ЭТП"/>
    <tableColumn id="32" name="torgi.gov.ru"/>
    <tableColumn id="33" name="Площадка"/>
    <tableColumn id="34" name="ID / № процедуры"/>
    <tableColumn id="35" name="Примечание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vestmoscow.ru/tenders/tender/20198280" TargetMode="External" Id="rId1"/><Relationship Type="http://schemas.openxmlformats.org/officeDocument/2006/relationships/hyperlink" Target="https://www.roseltorg.ru/procedure/21000005000000033634/1" TargetMode="External" Id="rId2"/><Relationship Type="http://schemas.openxmlformats.org/officeDocument/2006/relationships/hyperlink" Target="https://torgi.gov.ru/new/public/notices/view/21000005000000033634" TargetMode="External" Id="rId3"/><Relationship Type="http://schemas.openxmlformats.org/officeDocument/2006/relationships/hyperlink" Target="https://investmoscow.ru/tenders/tender/20202772" TargetMode="External" Id="rId4"/><Relationship Type="http://schemas.openxmlformats.org/officeDocument/2006/relationships/hyperlink" Target="https://www.roseltorg.ru/procedure/21000005000000033929/1" TargetMode="External" Id="rId5"/><Relationship Type="http://schemas.openxmlformats.org/officeDocument/2006/relationships/hyperlink" Target="https://torgi.gov.ru/new/public/notices/view/21000005000000033929" TargetMode="External" Id="rId6"/><Relationship Type="http://schemas.openxmlformats.org/officeDocument/2006/relationships/hyperlink" Target="https://investmoscow.ru/tenders/tender/20208821" TargetMode="External" Id="rId7"/><Relationship Type="http://schemas.openxmlformats.org/officeDocument/2006/relationships/hyperlink" Target="https://www.roseltorg.ru/procedure/21000005000000034190/1" TargetMode="External" Id="rId8"/><Relationship Type="http://schemas.openxmlformats.org/officeDocument/2006/relationships/hyperlink" Target="https://torgi.gov.ru/new/public/notices/view/21000005000000034190" TargetMode="External" Id="rId9"/><Relationship Type="http://schemas.openxmlformats.org/officeDocument/2006/relationships/hyperlink" Target="https://www.roseltorg.ru/procedure/COM13102600087/1" TargetMode="External" Id="rId10"/><Relationship Type="http://schemas.openxmlformats.org/officeDocument/2006/relationships/hyperlink" Target="https://www.roseltorg.ru/procedure/COM13102600087/1" TargetMode="External" Id="rId11"/><Relationship Type="http://schemas.openxmlformats.org/officeDocument/2006/relationships/hyperlink" Target="https://investmoscow.ru/tenders/tender/20208859" TargetMode="External" Id="rId12"/><Relationship Type="http://schemas.openxmlformats.org/officeDocument/2006/relationships/hyperlink" Target="https://www.roseltorg.ru/procedure/21000005000000034221/1" TargetMode="External" Id="rId13"/><Relationship Type="http://schemas.openxmlformats.org/officeDocument/2006/relationships/hyperlink" Target="https://torgi.gov.ru/new/public/notices/view/21000005000000034221" TargetMode="External" Id="rId14"/><Relationship Type="http://schemas.openxmlformats.org/officeDocument/2006/relationships/hyperlink" Target="https://investmoscow.ru/tenders/tender/20209390" TargetMode="External" Id="rId15"/><Relationship Type="http://schemas.openxmlformats.org/officeDocument/2006/relationships/hyperlink" Target="https://www.roseltorg.ru/procedure/21000005000000034236/1" TargetMode="External" Id="rId16"/><Relationship Type="http://schemas.openxmlformats.org/officeDocument/2006/relationships/hyperlink" Target="https://torgi.gov.ru/new/public/notices/view/21000005000000034236" TargetMode="External" Id="rId17"/><Relationship Type="http://schemas.openxmlformats.org/officeDocument/2006/relationships/hyperlink" Target="https://investmoscow.ru/tenders/tender/20212872" TargetMode="External" Id="rId18"/><Relationship Type="http://schemas.openxmlformats.org/officeDocument/2006/relationships/hyperlink" Target="https://www.roseltorg.ru/procedure/21000005000000034406" TargetMode="External" Id="rId19"/><Relationship Type="http://schemas.openxmlformats.org/officeDocument/2006/relationships/hyperlink" Target="https://torgi.gov.ru/new/public/notices/view/21000005000000034406" TargetMode="External" Id="rId20"/><Relationship Type="http://schemas.openxmlformats.org/officeDocument/2006/relationships/hyperlink" Target="https://investmoscow.ru/tenders/tender/20182722" TargetMode="External" Id="rId21"/><Relationship Type="http://schemas.openxmlformats.org/officeDocument/2006/relationships/hyperlink" Target="https://www.roseltorg.ru/procedure/178fz17092600002/1" TargetMode="External" Id="rId22"/><Relationship Type="http://schemas.openxmlformats.org/officeDocument/2006/relationships/hyperlink" Target="https://www.roseltorg.ru/procedure/21000003370000000430/1" TargetMode="External" Id="rId23"/><Relationship Type="http://schemas.openxmlformats.org/officeDocument/2006/relationships/hyperlink" Target="https://www.roseltorg.ru/procedure/21000003370000000430/1" TargetMode="External" Id="rId24"/><Relationship Type="http://schemas.openxmlformats.org/officeDocument/2006/relationships/hyperlink" Target="https://torgi.gov.ru/new/public/notices/view/21000003370000000430" TargetMode="External" Id="rId25"/><Relationship Type="http://schemas.openxmlformats.org/officeDocument/2006/relationships/table" Target="/xl/tables/table1.xml" Id="rId26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E0533D"/>
    <outlinePr summaryBelow="1" summaryRight="0"/>
    <pageSetUpPr fitToPage="1"/>
  </sheetPr>
  <dimension ref="A1:AI10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8" customWidth="1" min="4" max="4"/>
    <col width="17" customWidth="1" min="5" max="5"/>
    <col width="17" customWidth="1" min="6" max="6"/>
    <col width="9" customWidth="1" min="7" max="7"/>
    <col width="11" customWidth="1" min="8" max="8"/>
    <col width="10" customWidth="1" min="9" max="9"/>
    <col width="12" customWidth="1" min="10" max="10"/>
    <col width="10" customWidth="1" min="11" max="11"/>
    <col width="7" customWidth="1" min="12" max="12"/>
    <col outlineLevel="1" width="15" customWidth="1" min="13" max="13"/>
    <col outlineLevel="1" width="18" customWidth="1" min="14" max="14"/>
    <col outlineLevel="1" width="11" customWidth="1" min="15" max="15"/>
    <col outlineLevel="1" width="13" customWidth="1" min="16" max="16"/>
    <col outlineLevel="1" width="21" customWidth="1" min="17" max="17"/>
    <col outlineLevel="1" width="21" customWidth="1" min="18" max="18"/>
    <col width="17" customWidth="1" min="19" max="19"/>
    <col width="15" customWidth="1" min="20" max="20"/>
    <col width="15" customWidth="1" min="21" max="21"/>
    <col width="14" customWidth="1" min="22" max="22"/>
    <col width="24" customWidth="1" min="23" max="23"/>
    <col width="16" customWidth="1" min="24" max="24"/>
    <col width="16" customWidth="1" min="25" max="25"/>
    <col width="11" customWidth="1" min="26" max="26"/>
    <col width="16" customWidth="1" min="27" max="27"/>
    <col width="16" customWidth="1" min="28" max="28"/>
    <col width="16" customWidth="1" min="29" max="29"/>
    <col width="11" customWidth="1" min="30" max="30"/>
    <col width="11" customWidth="1" min="31" max="31"/>
    <col width="11" customWidth="1" min="32" max="32"/>
    <col outlineLevel="1" width="16" customWidth="1" min="33" max="33"/>
    <col outlineLevel="1" width="23" customWidth="1" min="34" max="34"/>
    <col width="60" customWidth="1" min="35" max="35"/>
  </cols>
  <sheetData>
    <row r="1" ht="46" customHeight="1">
      <c r="A1" s="1" t="inlineStr">
        <is>
          <t>№</t>
        </is>
      </c>
      <c r="B1" s="2" t="inlineStr">
        <is>
          <t>Тип объекта</t>
        </is>
      </c>
      <c r="C1" s="2" t="inlineStr">
        <is>
          <t>Адрес</t>
        </is>
      </c>
      <c r="D1" s="1" t="inlineStr">
        <is>
          <t>Округ</t>
        </is>
      </c>
      <c r="E1" s="2" t="inlineStr">
        <is>
          <t>Район</t>
        </is>
      </c>
      <c r="F1" s="2" t="inlineStr">
        <is>
          <t>Метро</t>
        </is>
      </c>
      <c r="G1" s="1" t="inlineStr">
        <is>
          <t>До метро, мин</t>
        </is>
      </c>
      <c r="H1" s="3" t="inlineStr">
        <is>
          <t>Площадь, м²</t>
        </is>
      </c>
      <c r="I1" s="4" t="inlineStr">
        <is>
          <t>Участок, м²</t>
        </is>
      </c>
      <c r="J1" s="2" t="inlineStr">
        <is>
          <t>Этаж</t>
        </is>
      </c>
      <c r="K1" s="1" t="inlineStr">
        <is>
          <t>Этажность</t>
        </is>
      </c>
      <c r="L1" s="1" t="inlineStr">
        <is>
          <t>ОКН</t>
        </is>
      </c>
      <c r="M1" s="2" t="inlineStr">
        <is>
          <t>Назначение</t>
        </is>
      </c>
      <c r="N1" s="2" t="inlineStr">
        <is>
          <t>Вход</t>
        </is>
      </c>
      <c r="O1" s="1" t="inlineStr">
        <is>
          <t>Арендатор</t>
        </is>
      </c>
      <c r="P1" s="1" t="inlineStr">
        <is>
          <t>Обременения</t>
        </is>
      </c>
      <c r="Q1" s="2" t="inlineStr">
        <is>
          <t>Кадастровый № объекта</t>
        </is>
      </c>
      <c r="R1" s="2" t="inlineStr">
        <is>
          <t>Кадастровый № участка</t>
        </is>
      </c>
      <c r="S1" s="3" t="inlineStr">
        <is>
          <t>Начальная цена, ₽</t>
        </is>
      </c>
      <c r="T1" s="4" t="inlineStr">
        <is>
          <t>Цена за м², ₽</t>
        </is>
      </c>
      <c r="U1" s="4" t="inlineStr">
        <is>
          <t>Задаток, ₽</t>
        </is>
      </c>
      <c r="V1" s="4" t="inlineStr">
        <is>
          <t>Шаг аукциона, ₽</t>
        </is>
      </c>
      <c r="W1" s="2" t="inlineStr">
        <is>
          <t>Форма торгов</t>
        </is>
      </c>
      <c r="X1" s="5" t="inlineStr">
        <is>
          <t>Приём заявок с</t>
        </is>
      </c>
      <c r="Y1" s="1" t="inlineStr">
        <is>
          <t>Приём заявок до</t>
        </is>
      </c>
      <c r="Z1" s="1" t="inlineStr">
        <is>
          <t>Дней до конца приёма</t>
        </is>
      </c>
      <c r="AA1" s="1" t="inlineStr">
        <is>
          <t>Отбор участников</t>
        </is>
      </c>
      <c r="AB1" s="1" t="inlineStr">
        <is>
          <t>Дата торгов</t>
        </is>
      </c>
      <c r="AC1" s="1" t="inlineStr">
        <is>
          <t>Подведение итогов</t>
        </is>
      </c>
      <c r="AD1" s="5" t="inlineStr">
        <is>
          <t>Карточка</t>
        </is>
      </c>
      <c r="AE1" s="1" t="inlineStr">
        <is>
          <t>Процедура на ЭТП</t>
        </is>
      </c>
      <c r="AF1" s="1" t="inlineStr">
        <is>
          <t>torgi.gov.ru</t>
        </is>
      </c>
      <c r="AG1" s="2" t="inlineStr">
        <is>
          <t>Площадка</t>
        </is>
      </c>
      <c r="AH1" s="2" t="inlineStr">
        <is>
          <t>ID / № процедуры</t>
        </is>
      </c>
      <c r="AI1" s="6" t="inlineStr">
        <is>
          <t>Примечание</t>
        </is>
      </c>
    </row>
    <row r="2" ht="40" customHeight="1">
      <c r="A2" s="7" t="n">
        <v>1</v>
      </c>
      <c r="B2" s="8" t="inlineStr">
        <is>
          <t>Нежилое помещение</t>
        </is>
      </c>
      <c r="C2" s="9" t="inlineStr">
        <is>
          <t>Малый Златоустинский пер., д. 8, стр. 1, этаж 1</t>
        </is>
      </c>
      <c r="D2" s="10" t="inlineStr">
        <is>
          <t>ЦАО</t>
        </is>
      </c>
      <c r="E2" s="8" t="inlineStr">
        <is>
          <t>Басманный</t>
        </is>
      </c>
      <c r="F2" s="8" t="inlineStr">
        <is>
          <t>Китай-город</t>
        </is>
      </c>
      <c r="G2" s="11" t="n">
        <v>5</v>
      </c>
      <c r="H2" s="12" t="n">
        <v>42.3</v>
      </c>
      <c r="I2" s="13" t="n"/>
      <c r="J2" s="8" t="inlineStr">
        <is>
          <t>1</t>
        </is>
      </c>
      <c r="K2" s="11" t="n">
        <v>3</v>
      </c>
      <c r="L2" s="10" t="inlineStr">
        <is>
          <t>Нет</t>
        </is>
      </c>
      <c r="M2" s="8" t="inlineStr">
        <is>
          <t>Свободное</t>
        </is>
      </c>
      <c r="N2" s="8" t="inlineStr">
        <is>
          <t>Через места общего пользования</t>
        </is>
      </c>
      <c r="O2" s="10" t="inlineStr">
        <is>
          <t>Нет</t>
        </is>
      </c>
      <c r="P2" s="10" t="inlineStr">
        <is>
          <t>Нет</t>
        </is>
      </c>
      <c r="Q2" s="14" t="inlineStr">
        <is>
          <t>77:01:0001033:2521</t>
        </is>
      </c>
      <c r="R2" s="15" t="inlineStr">
        <is>
          <t>—</t>
        </is>
      </c>
      <c r="S2" s="16" t="n">
        <v>15384000</v>
      </c>
      <c r="T2" s="13">
        <f>IF(AND(ISNUMBER(S2),ISNUMBER(H2),H2&gt;0),S2/H2,"")</f>
        <v>363687.943262411</v>
      </c>
      <c r="U2" s="17" t="n">
        <v>1538400</v>
      </c>
      <c r="V2" s="17" t="n">
        <v>769200</v>
      </c>
      <c r="W2" s="8" t="inlineStr">
        <is>
          <t>Открытый аукцион в электронной форме</t>
        </is>
      </c>
      <c r="X2" s="18" t="n">
        <v>46279.83333333334</v>
      </c>
      <c r="Y2" s="19" t="n">
        <v>46335.625</v>
      </c>
      <c r="Z2" s="11">
        <f>IF(ISNUMBER(Y2),MAX(0,INT(Y2-TODAY())),"")</f>
        <v>20</v>
      </c>
      <c r="AA2" s="19" t="n">
        <v>46342.41666666666</v>
      </c>
      <c r="AB2" s="19" t="n">
        <v>46344.41666666666</v>
      </c>
      <c r="AC2" s="19" t="n">
        <v>46344.70833333334</v>
      </c>
      <c r="AD2" s="20" t="inlineStr">
        <is>
          <t>открыть ↗</t>
        </is>
      </c>
      <c r="AE2" s="21" t="inlineStr">
        <is>
          <t>открыть ↗</t>
        </is>
      </c>
      <c r="AF2" s="21" t="inlineStr">
        <is>
          <t>открыть ↗</t>
        </is>
      </c>
      <c r="AG2" s="14" t="inlineStr">
        <is>
          <t>investmoscow.ru</t>
        </is>
      </c>
      <c r="AH2" s="14" t="inlineStr">
        <is>
          <t>20198280</t>
        </is>
      </c>
      <c r="AI2" s="22" t="inlineStr">
        <is>
          <t>Район указан по адресному справочнику (в карточке не указан).</t>
        </is>
      </c>
    </row>
    <row r="3" ht="40" customHeight="1">
      <c r="A3" s="23" t="n">
        <v>2</v>
      </c>
      <c r="B3" s="24" t="inlineStr">
        <is>
          <t>Нежилое помещение</t>
        </is>
      </c>
      <c r="C3" s="25" t="inlineStr">
        <is>
          <t>Большая Никитская ул., д. 21/18, стр. 1, этаж 1</t>
        </is>
      </c>
      <c r="D3" s="26" t="inlineStr">
        <is>
          <t>ЦАО</t>
        </is>
      </c>
      <c r="E3" s="24" t="inlineStr">
        <is>
          <t>Пресненский</t>
        </is>
      </c>
      <c r="F3" s="24" t="inlineStr">
        <is>
          <t>Арбатская</t>
        </is>
      </c>
      <c r="G3" s="27" t="n">
        <v>9</v>
      </c>
      <c r="H3" s="28" t="n">
        <v>13.1</v>
      </c>
      <c r="I3" s="29" t="n"/>
      <c r="J3" s="24" t="inlineStr">
        <is>
          <t>1</t>
        </is>
      </c>
      <c r="K3" s="27" t="n">
        <v>2</v>
      </c>
      <c r="L3" s="26" t="inlineStr">
        <is>
          <t>Да</t>
        </is>
      </c>
      <c r="M3" s="24" t="inlineStr">
        <is>
          <t>Свободное</t>
        </is>
      </c>
      <c r="N3" s="24" t="inlineStr">
        <is>
          <t>Через иную собственность</t>
        </is>
      </c>
      <c r="O3" s="26" t="inlineStr">
        <is>
          <t>Нет</t>
        </is>
      </c>
      <c r="P3" s="26" t="inlineStr">
        <is>
          <t>Нет</t>
        </is>
      </c>
      <c r="Q3" s="30" t="inlineStr">
        <is>
          <t>77:01:0001045:2432</t>
        </is>
      </c>
      <c r="R3" s="31" t="inlineStr">
        <is>
          <t>—</t>
        </is>
      </c>
      <c r="S3" s="32" t="n">
        <v>17225000</v>
      </c>
      <c r="T3" s="29">
        <f>IF(AND(ISNUMBER(S3),ISNUMBER(H3),H3&gt;0),S3/H3,"")</f>
        <v>1314885.49618321</v>
      </c>
      <c r="U3" s="33" t="n">
        <v>1722500</v>
      </c>
      <c r="V3" s="33" t="n">
        <v>861250</v>
      </c>
      <c r="W3" s="24" t="inlineStr">
        <is>
          <t>Открытый аукцион в электронной форме</t>
        </is>
      </c>
      <c r="X3" s="34" t="n">
        <v>46289.83333333334</v>
      </c>
      <c r="Y3" s="35" t="n">
        <v>46337.625</v>
      </c>
      <c r="Z3" s="27">
        <f>IF(ISNUMBER(Y3),MAX(0,INT(Y3-TODAY())),"")</f>
        <v>22</v>
      </c>
      <c r="AA3" s="35" t="n">
        <v>46344.41666666666</v>
      </c>
      <c r="AB3" s="35" t="n">
        <v>46346.41666666666</v>
      </c>
      <c r="AC3" s="35" t="n">
        <v>46346.70833333334</v>
      </c>
      <c r="AD3" s="36" t="inlineStr">
        <is>
          <t>открыть ↗</t>
        </is>
      </c>
      <c r="AE3" s="37" t="inlineStr">
        <is>
          <t>открыть ↗</t>
        </is>
      </c>
      <c r="AF3" s="37" t="inlineStr">
        <is>
          <t>открыть ↗</t>
        </is>
      </c>
      <c r="AG3" s="30" t="inlineStr">
        <is>
          <t>investmoscow.ru</t>
        </is>
      </c>
      <c r="AH3" s="30" t="inlineStr">
        <is>
          <t>20202772</t>
        </is>
      </c>
      <c r="AI3" s="38" t="inlineStr">
        <is>
          <t>Объект культурного наследия.</t>
        </is>
      </c>
    </row>
    <row r="4" ht="40" customHeight="1">
      <c r="A4" s="7" t="n">
        <v>3</v>
      </c>
      <c r="B4" s="8" t="inlineStr">
        <is>
          <t>Нежилое помещение</t>
        </is>
      </c>
      <c r="C4" s="9" t="inlineStr">
        <is>
          <t>ул. Бахрушина, д. 1, стр. 1, этаж 1, помещение 5/1</t>
        </is>
      </c>
      <c r="D4" s="10" t="inlineStr">
        <is>
          <t>ЦАО</t>
        </is>
      </c>
      <c r="E4" s="8" t="inlineStr">
        <is>
          <t>Замоскворечье</t>
        </is>
      </c>
      <c r="F4" s="8" t="inlineStr">
        <is>
          <t>Павелецкая</t>
        </is>
      </c>
      <c r="G4" s="11" t="n">
        <v>9</v>
      </c>
      <c r="H4" s="12" t="n">
        <v>167.1</v>
      </c>
      <c r="I4" s="13" t="n"/>
      <c r="J4" s="8" t="inlineStr">
        <is>
          <t>1</t>
        </is>
      </c>
      <c r="K4" s="11" t="n">
        <v>6</v>
      </c>
      <c r="L4" s="10" t="inlineStr">
        <is>
          <t>Нет</t>
        </is>
      </c>
      <c r="M4" s="8" t="inlineStr">
        <is>
          <t>Свободное</t>
        </is>
      </c>
      <c r="N4" s="8" t="inlineStr">
        <is>
          <t>Через подъезд</t>
        </is>
      </c>
      <c r="O4" s="10" t="inlineStr">
        <is>
          <t>Нет</t>
        </is>
      </c>
      <c r="P4" s="10" t="inlineStr">
        <is>
          <t>Нет</t>
        </is>
      </c>
      <c r="Q4" s="14" t="inlineStr">
        <is>
          <t>77:01:0002012:3735</t>
        </is>
      </c>
      <c r="R4" s="15" t="inlineStr">
        <is>
          <t>—</t>
        </is>
      </c>
      <c r="S4" s="16" t="n">
        <v>50797000</v>
      </c>
      <c r="T4" s="13">
        <f>IF(AND(ISNUMBER(S4),ISNUMBER(H4),H4&gt;0),S4/H4,"")</f>
        <v>303991.621783363</v>
      </c>
      <c r="U4" s="17" t="n">
        <v>5079700</v>
      </c>
      <c r="V4" s="17" t="n">
        <v>2539850</v>
      </c>
      <c r="W4" s="8" t="inlineStr">
        <is>
          <t>Открытый аукцион в электронной форме</t>
        </is>
      </c>
      <c r="X4" s="18" t="n">
        <v>46301.83333333334</v>
      </c>
      <c r="Y4" s="19" t="n">
        <v>46335.625</v>
      </c>
      <c r="Z4" s="11">
        <f>IF(ISNUMBER(Y4),MAX(0,INT(Y4-TODAY())),"")</f>
        <v>20</v>
      </c>
      <c r="AA4" s="19" t="n">
        <v>46338.41666666666</v>
      </c>
      <c r="AB4" s="19" t="n">
        <v>46343.41666666666</v>
      </c>
      <c r="AC4" s="19" t="n">
        <v>46343.70833333334</v>
      </c>
      <c r="AD4" s="20" t="inlineStr">
        <is>
          <t>открыть ↗</t>
        </is>
      </c>
      <c r="AE4" s="21" t="inlineStr">
        <is>
          <t>открыть ↗</t>
        </is>
      </c>
      <c r="AF4" s="21" t="inlineStr">
        <is>
          <t>открыть ↗</t>
        </is>
      </c>
      <c r="AG4" s="14" t="inlineStr">
        <is>
          <t>investmoscow.ru</t>
        </is>
      </c>
      <c r="AH4" s="14" t="inlineStr">
        <is>
          <t>20208821</t>
        </is>
      </c>
      <c r="AI4" s="22" t="inlineStr"/>
    </row>
    <row r="5" ht="40" customHeight="1">
      <c r="A5" s="23" t="n">
        <v>4</v>
      </c>
      <c r="B5" s="24" t="inlineStr">
        <is>
          <t>Нежилое помещение</t>
        </is>
      </c>
      <c r="C5" s="25" t="inlineStr">
        <is>
          <t>Большая Сухаревская пл., д. 1/2, стр. 1, помещ. 3/1</t>
        </is>
      </c>
      <c r="D5" s="26" t="inlineStr">
        <is>
          <t>ЦАО</t>
        </is>
      </c>
      <c r="E5" s="24" t="inlineStr">
        <is>
          <t>Мещанский</t>
        </is>
      </c>
      <c r="F5" s="24" t="inlineStr">
        <is>
          <t>Сухаревская</t>
        </is>
      </c>
      <c r="G5" s="27" t="n">
        <v>2</v>
      </c>
      <c r="H5" s="28" t="n">
        <v>315.5</v>
      </c>
      <c r="I5" s="29" t="n"/>
      <c r="J5" s="24" t="inlineStr">
        <is>
          <t>Подвал, 1 этаж, антресоль</t>
        </is>
      </c>
      <c r="K5" s="27" t="n">
        <v>3</v>
      </c>
      <c r="L5" s="39" t="inlineStr">
        <is>
          <t>—</t>
        </is>
      </c>
      <c r="M5" s="40" t="inlineStr">
        <is>
          <t>—</t>
        </is>
      </c>
      <c r="N5" s="40" t="inlineStr">
        <is>
          <t>—</t>
        </is>
      </c>
      <c r="O5" s="39" t="inlineStr">
        <is>
          <t>—</t>
        </is>
      </c>
      <c r="P5" s="39" t="inlineStr">
        <is>
          <t>—</t>
        </is>
      </c>
      <c r="Q5" s="31" t="inlineStr">
        <is>
          <t>—</t>
        </is>
      </c>
      <c r="R5" s="31" t="inlineStr">
        <is>
          <t>—</t>
        </is>
      </c>
      <c r="S5" s="32" t="n">
        <v>112951260</v>
      </c>
      <c r="T5" s="29">
        <f>IF(AND(ISNUMBER(S5),ISNUMBER(H5),H5&gt;0),S5/H5,"")</f>
        <v>358007.163232964</v>
      </c>
      <c r="U5" s="33" t="n">
        <v>11295126</v>
      </c>
      <c r="V5" s="41" t="inlineStr">
        <is>
          <t>—</t>
        </is>
      </c>
      <c r="W5" s="24" t="inlineStr">
        <is>
          <t>Аукцион на повышение (коммерческая процедура)</t>
        </is>
      </c>
      <c r="X5" s="34" t="n">
        <v>46308.58333333334</v>
      </c>
      <c r="Y5" s="35" t="n">
        <v>46369.58333333334</v>
      </c>
      <c r="Z5" s="27">
        <f>IF(ISNUMBER(Y5),MAX(0,INT(Y5-TODAY())),"")</f>
        <v>54</v>
      </c>
      <c r="AA5" s="35" t="n">
        <v>46372.625</v>
      </c>
      <c r="AB5" s="35" t="n">
        <v>46373.45833333334</v>
      </c>
      <c r="AC5" s="42" t="inlineStr">
        <is>
          <t>—</t>
        </is>
      </c>
      <c r="AD5" s="36" t="inlineStr">
        <is>
          <t>открыть ↗</t>
        </is>
      </c>
      <c r="AE5" s="37" t="inlineStr">
        <is>
          <t>открыть ↗</t>
        </is>
      </c>
      <c r="AF5" s="27" t="n"/>
      <c r="AG5" s="30" t="inlineStr">
        <is>
          <t>roseltorg.ru (com)</t>
        </is>
      </c>
      <c r="AH5" s="30" t="inlineStr">
        <is>
          <t>COM13102600087</t>
        </is>
      </c>
      <c r="AI5" s="38" t="inlineStr">
        <is>
          <t>Продавец и организатор — АКБ «Абсолют Банк» (ПАО). Задаток — обеспечение заявки 10%. Шаг аукциона на странице не указан (он в аукционной документации). Цена с НДС 22%. Первая линия Садового кольца, 20 м от выхода метро.</t>
        </is>
      </c>
    </row>
    <row r="6" ht="40" customHeight="1">
      <c r="A6" s="7" t="n">
        <v>5</v>
      </c>
      <c r="B6" s="8" t="inlineStr">
        <is>
          <t>Здание + земельный участок</t>
        </is>
      </c>
      <c r="C6" s="9" t="inlineStr">
        <is>
          <t>Каширское ш., д. 88/26, стр. 2</t>
        </is>
      </c>
      <c r="D6" s="10" t="inlineStr">
        <is>
          <t>ЮАО</t>
        </is>
      </c>
      <c r="E6" s="8" t="inlineStr">
        <is>
          <t>Орехово-Борисово Северное</t>
        </is>
      </c>
      <c r="F6" s="8" t="inlineStr">
        <is>
          <t>Домодедовская</t>
        </is>
      </c>
      <c r="G6" s="11" t="n">
        <v>12</v>
      </c>
      <c r="H6" s="12" t="n">
        <v>898.3</v>
      </c>
      <c r="I6" s="13" t="n">
        <v>808</v>
      </c>
      <c r="J6" s="43" t="inlineStr">
        <is>
          <t>—</t>
        </is>
      </c>
      <c r="K6" s="11" t="n">
        <v>1</v>
      </c>
      <c r="L6" s="10" t="inlineStr">
        <is>
          <t>Нет</t>
        </is>
      </c>
      <c r="M6" s="8" t="inlineStr">
        <is>
          <t>Свободное</t>
        </is>
      </c>
      <c r="N6" s="43" t="inlineStr">
        <is>
          <t>—</t>
        </is>
      </c>
      <c r="O6" s="10" t="inlineStr">
        <is>
          <t>Нет</t>
        </is>
      </c>
      <c r="P6" s="10" t="inlineStr">
        <is>
          <t>Нет</t>
        </is>
      </c>
      <c r="Q6" s="14" t="inlineStr">
        <is>
          <t>77:05:0011002:1086</t>
        </is>
      </c>
      <c r="R6" s="14" t="inlineStr">
        <is>
          <t>77:05:0011002:93</t>
        </is>
      </c>
      <c r="S6" s="16" t="n">
        <v>158898000</v>
      </c>
      <c r="T6" s="13">
        <f>IF(AND(ISNUMBER(S6),ISNUMBER(H6),H6&gt;0),S6/H6,"")</f>
        <v>176887.454079929</v>
      </c>
      <c r="U6" s="17" t="n">
        <v>31779600</v>
      </c>
      <c r="V6" s="17" t="n">
        <v>1588980</v>
      </c>
      <c r="W6" s="8" t="inlineStr">
        <is>
          <t>Открытый аукцион в электронной форме</t>
        </is>
      </c>
      <c r="X6" s="18" t="n">
        <v>46302.83333333334</v>
      </c>
      <c r="Y6" s="19" t="n">
        <v>46335.625</v>
      </c>
      <c r="Z6" s="11">
        <f>IF(ISNUMBER(Y6),MAX(0,INT(Y6-TODAY())),"")</f>
        <v>20</v>
      </c>
      <c r="AA6" s="19" t="n">
        <v>46338.41666666666</v>
      </c>
      <c r="AB6" s="19" t="n">
        <v>46343.41666666666</v>
      </c>
      <c r="AC6" s="19" t="n">
        <v>46343.70833333334</v>
      </c>
      <c r="AD6" s="20" t="inlineStr">
        <is>
          <t>открыть ↗</t>
        </is>
      </c>
      <c r="AE6" s="21" t="inlineStr">
        <is>
          <t>открыть ↗</t>
        </is>
      </c>
      <c r="AF6" s="21" t="inlineStr">
        <is>
          <t>открыть ↗</t>
        </is>
      </c>
      <c r="AG6" s="14" t="inlineStr">
        <is>
          <t>investmoscow.ru</t>
        </is>
      </c>
      <c r="AH6" s="14" t="inlineStr">
        <is>
          <t>20208859</t>
        </is>
      </c>
      <c r="AI6" s="22" t="inlineStr">
        <is>
          <t>Цена за м² считается по площади здания.</t>
        </is>
      </c>
    </row>
    <row r="7" ht="40" customHeight="1">
      <c r="A7" s="23" t="n">
        <v>6</v>
      </c>
      <c r="B7" s="24" t="inlineStr">
        <is>
          <t>Здание + земельный участок</t>
        </is>
      </c>
      <c r="C7" s="25" t="inlineStr">
        <is>
          <t>Неглинная ул., д. 18/1, стр. 2</t>
        </is>
      </c>
      <c r="D7" s="26" t="inlineStr">
        <is>
          <t>ЦАО</t>
        </is>
      </c>
      <c r="E7" s="24" t="inlineStr">
        <is>
          <t>Мещанский</t>
        </is>
      </c>
      <c r="F7" s="24" t="inlineStr">
        <is>
          <t>Трубная</t>
        </is>
      </c>
      <c r="G7" s="27" t="n">
        <v>4</v>
      </c>
      <c r="H7" s="28" t="n">
        <v>634.4</v>
      </c>
      <c r="I7" s="29" t="n">
        <v>396</v>
      </c>
      <c r="J7" s="40" t="inlineStr">
        <is>
          <t>—</t>
        </is>
      </c>
      <c r="K7" s="27" t="n">
        <v>1</v>
      </c>
      <c r="L7" s="26" t="inlineStr">
        <is>
          <t>Нет</t>
        </is>
      </c>
      <c r="M7" s="24" t="inlineStr">
        <is>
          <t>Свободное</t>
        </is>
      </c>
      <c r="N7" s="40" t="inlineStr">
        <is>
          <t>—</t>
        </is>
      </c>
      <c r="O7" s="26" t="inlineStr">
        <is>
          <t>Нет</t>
        </is>
      </c>
      <c r="P7" s="26" t="inlineStr">
        <is>
          <t>Нет</t>
        </is>
      </c>
      <c r="Q7" s="30" t="inlineStr">
        <is>
          <t>77:01:0001080:1014</t>
        </is>
      </c>
      <c r="R7" s="30" t="inlineStr">
        <is>
          <t>77:01:0001080:2978</t>
        </is>
      </c>
      <c r="S7" s="32" t="n">
        <v>195014000</v>
      </c>
      <c r="T7" s="29">
        <f>IF(AND(ISNUMBER(S7),ISNUMBER(H7),H7&gt;0),S7/H7,"")</f>
        <v>307399.117276166</v>
      </c>
      <c r="U7" s="33" t="n">
        <v>39002800</v>
      </c>
      <c r="V7" s="33" t="n">
        <v>1950140</v>
      </c>
      <c r="W7" s="24" t="inlineStr">
        <is>
          <t>Открытый аукцион в электронной форме</t>
        </is>
      </c>
      <c r="X7" s="34" t="n">
        <v>46302.83333333334</v>
      </c>
      <c r="Y7" s="35" t="n">
        <v>46335.625</v>
      </c>
      <c r="Z7" s="27">
        <f>IF(ISNUMBER(Y7),MAX(0,INT(Y7-TODAY())),"")</f>
        <v>20</v>
      </c>
      <c r="AA7" s="35" t="n">
        <v>46338.41666666666</v>
      </c>
      <c r="AB7" s="35" t="n">
        <v>46343.41666666666</v>
      </c>
      <c r="AC7" s="35" t="n">
        <v>46343.70833333334</v>
      </c>
      <c r="AD7" s="36" t="inlineStr">
        <is>
          <t>открыть ↗</t>
        </is>
      </c>
      <c r="AE7" s="37" t="inlineStr">
        <is>
          <t>открыть ↗</t>
        </is>
      </c>
      <c r="AF7" s="37" t="inlineStr">
        <is>
          <t>открыть ↗</t>
        </is>
      </c>
      <c r="AG7" s="30" t="inlineStr">
        <is>
          <t>investmoscow.ru</t>
        </is>
      </c>
      <c r="AH7" s="30" t="inlineStr">
        <is>
          <t>20209390</t>
        </is>
      </c>
      <c r="AI7" s="38" t="inlineStr">
        <is>
          <t>Цена за м² считается по площади здания.</t>
        </is>
      </c>
    </row>
    <row r="8" ht="40" customHeight="1">
      <c r="A8" s="7" t="n">
        <v>7</v>
      </c>
      <c r="B8" s="8" t="inlineStr">
        <is>
          <t>Нежилое помещение</t>
        </is>
      </c>
      <c r="C8" s="9" t="inlineStr">
        <is>
          <t>ул. Покровка, д. 19, этаж 1</t>
        </is>
      </c>
      <c r="D8" s="10" t="inlineStr">
        <is>
          <t>ЦАО</t>
        </is>
      </c>
      <c r="E8" s="8" t="inlineStr">
        <is>
          <t>Басманный</t>
        </is>
      </c>
      <c r="F8" s="8" t="inlineStr">
        <is>
          <t>Чистые пруды</t>
        </is>
      </c>
      <c r="G8" s="11" t="n">
        <v>9</v>
      </c>
      <c r="H8" s="12" t="n">
        <v>431.2</v>
      </c>
      <c r="I8" s="13" t="n"/>
      <c r="J8" s="8" t="inlineStr">
        <is>
          <t>1</t>
        </is>
      </c>
      <c r="K8" s="11" t="n"/>
      <c r="L8" s="10" t="inlineStr">
        <is>
          <t>Да</t>
        </is>
      </c>
      <c r="M8" s="8" t="inlineStr">
        <is>
          <t>Свободное</t>
        </is>
      </c>
      <c r="N8" s="8" t="inlineStr">
        <is>
          <t>Через подъезд, отдельный</t>
        </is>
      </c>
      <c r="O8" s="10" t="inlineStr">
        <is>
          <t>Нет</t>
        </is>
      </c>
      <c r="P8" s="10" t="inlineStr">
        <is>
          <t>Нет</t>
        </is>
      </c>
      <c r="Q8" s="14" t="inlineStr">
        <is>
          <t>77:01:0001029:4191</t>
        </is>
      </c>
      <c r="R8" s="15" t="inlineStr">
        <is>
          <t>—</t>
        </is>
      </c>
      <c r="S8" s="16" t="n">
        <v>239527000</v>
      </c>
      <c r="T8" s="13">
        <f>IF(AND(ISNUMBER(S8),ISNUMBER(H8),H8&gt;0),S8/H8,"")</f>
        <v>555489.332096475</v>
      </c>
      <c r="U8" s="17" t="n">
        <v>47905400</v>
      </c>
      <c r="V8" s="17" t="n">
        <v>2395270</v>
      </c>
      <c r="W8" s="8" t="inlineStr">
        <is>
          <t>Открытый аукцион в электронной форме</t>
        </is>
      </c>
      <c r="X8" s="18" t="n">
        <v>46308.83333333334</v>
      </c>
      <c r="Y8" s="19" t="n">
        <v>46342.625</v>
      </c>
      <c r="Z8" s="11">
        <f>IF(ISNUMBER(Y8),MAX(0,INT(Y8-TODAY())),"")</f>
        <v>27</v>
      </c>
      <c r="AA8" s="19" t="n">
        <v>46345.41666666666</v>
      </c>
      <c r="AB8" s="19" t="n">
        <v>46350.41666666666</v>
      </c>
      <c r="AC8" s="19" t="n">
        <v>46350.70833333334</v>
      </c>
      <c r="AD8" s="20" t="inlineStr">
        <is>
          <t>открыть ↗</t>
        </is>
      </c>
      <c r="AE8" s="21" t="inlineStr">
        <is>
          <t>открыть ↗</t>
        </is>
      </c>
      <c r="AF8" s="21" t="inlineStr">
        <is>
          <t>открыть ↗</t>
        </is>
      </c>
      <c r="AG8" s="14" t="inlineStr">
        <is>
          <t>investmoscow.ru</t>
        </is>
      </c>
      <c r="AH8" s="14" t="inlineStr">
        <is>
          <t>20212872</t>
        </is>
      </c>
      <c r="AI8" s="22" t="inlineStr">
        <is>
          <t>Объект культурного наследия.</t>
        </is>
      </c>
    </row>
    <row r="9" ht="40" customHeight="1">
      <c r="A9" s="23" t="n">
        <v>8</v>
      </c>
      <c r="B9" s="24" t="inlineStr">
        <is>
          <t>Здание</t>
        </is>
      </c>
      <c r="C9" s="25" t="inlineStr">
        <is>
          <t>Пятницкая ул., д. 15</t>
        </is>
      </c>
      <c r="D9" s="26" t="inlineStr">
        <is>
          <t>ЦАО</t>
        </is>
      </c>
      <c r="E9" s="24" t="inlineStr">
        <is>
          <t>Замоскворечье</t>
        </is>
      </c>
      <c r="F9" s="24" t="inlineStr">
        <is>
          <t>Новокузнецкая</t>
        </is>
      </c>
      <c r="G9" s="27" t="n">
        <v>2</v>
      </c>
      <c r="H9" s="28" t="n">
        <v>1030.1</v>
      </c>
      <c r="I9" s="29" t="n"/>
      <c r="J9" s="40" t="inlineStr">
        <is>
          <t>—</t>
        </is>
      </c>
      <c r="K9" s="27" t="n">
        <v>3</v>
      </c>
      <c r="L9" s="26" t="inlineStr">
        <is>
          <t>Да</t>
        </is>
      </c>
      <c r="M9" s="24" t="inlineStr">
        <is>
          <t>Свободное</t>
        </is>
      </c>
      <c r="N9" s="40" t="inlineStr">
        <is>
          <t>—</t>
        </is>
      </c>
      <c r="O9" s="26" t="inlineStr">
        <is>
          <t>Нет</t>
        </is>
      </c>
      <c r="P9" s="26" t="inlineStr">
        <is>
          <t>Нет</t>
        </is>
      </c>
      <c r="Q9" s="30" t="inlineStr">
        <is>
          <t>77:01:0002018:1071</t>
        </is>
      </c>
      <c r="R9" s="31" t="inlineStr">
        <is>
          <t>—</t>
        </is>
      </c>
      <c r="S9" s="32" t="n">
        <v>263000000</v>
      </c>
      <c r="T9" s="29">
        <f>IF(AND(ISNUMBER(S9),ISNUMBER(H9),H9&gt;0),S9/H9,"")</f>
        <v>255315.017959421</v>
      </c>
      <c r="U9" s="33" t="n">
        <v>131500000</v>
      </c>
      <c r="V9" s="33" t="n">
        <v>2630000</v>
      </c>
      <c r="W9" s="24" t="inlineStr">
        <is>
          <t>Открытый аукцион в электронной форме</t>
        </is>
      </c>
      <c r="X9" s="34" t="n">
        <v>46282.83333333334</v>
      </c>
      <c r="Y9" s="35" t="n">
        <v>46339.625</v>
      </c>
      <c r="Z9" s="27">
        <f>IF(ISNUMBER(Y9),MAX(0,INT(Y9-TODAY())),"")</f>
        <v>24</v>
      </c>
      <c r="AA9" s="35" t="n">
        <v>46344.41666666666</v>
      </c>
      <c r="AB9" s="35" t="n">
        <v>46346.41666666666</v>
      </c>
      <c r="AC9" s="35" t="n">
        <v>46346.70833333334</v>
      </c>
      <c r="AD9" s="36" t="inlineStr">
        <is>
          <t>открыть ↗</t>
        </is>
      </c>
      <c r="AE9" s="37" t="inlineStr">
        <is>
          <t>открыть ↗</t>
        </is>
      </c>
      <c r="AF9" s="27" t="n"/>
      <c r="AG9" s="30" t="inlineStr">
        <is>
          <t>investmoscow.ru</t>
        </is>
      </c>
      <c r="AH9" s="30" t="inlineStr">
        <is>
          <t>20182722</t>
        </is>
      </c>
      <c r="AI9" s="38" t="inlineStr">
        <is>
          <t>В вашем списке ссылка была дважды. Вид цены — «плата за право заключения договора купли-продажи». Процедура по 178-ФЗ, ссылки на torgi.gov.ru в карточке нет. Объект культурного наследия.</t>
        </is>
      </c>
    </row>
    <row r="10" ht="40" customHeight="1">
      <c r="A10" s="7" t="n">
        <v>9</v>
      </c>
      <c r="B10" s="8" t="inlineStr">
        <is>
          <t>Здание + земельный участок</t>
        </is>
      </c>
      <c r="C10" s="9" t="inlineStr">
        <is>
          <t>Краснопрудная ул., д. 3Б (земельный участок 3/5/1), здание Ярославского ПЖДП</t>
        </is>
      </c>
      <c r="D10" s="10" t="inlineStr">
        <is>
          <t>ЦАО</t>
        </is>
      </c>
      <c r="E10" s="8" t="inlineStr">
        <is>
          <t>Красносельский</t>
        </is>
      </c>
      <c r="F10" s="8" t="inlineStr">
        <is>
          <t>Красносельская</t>
        </is>
      </c>
      <c r="G10" s="11" t="n">
        <v>4</v>
      </c>
      <c r="H10" s="12" t="n">
        <v>1259.3</v>
      </c>
      <c r="I10" s="13" t="n">
        <v>621</v>
      </c>
      <c r="J10" s="43" t="inlineStr">
        <is>
          <t>—</t>
        </is>
      </c>
      <c r="K10" s="11" t="n">
        <v>3</v>
      </c>
      <c r="L10" s="44" t="inlineStr">
        <is>
          <t>—</t>
        </is>
      </c>
      <c r="M10" s="8" t="inlineStr">
        <is>
          <t>Услуги связи (ВРИ участка 3.2.3)</t>
        </is>
      </c>
      <c r="N10" s="43" t="inlineStr">
        <is>
          <t>—</t>
        </is>
      </c>
      <c r="O10" s="44" t="inlineStr">
        <is>
          <t>—</t>
        </is>
      </c>
      <c r="P10" s="10" t="inlineStr">
        <is>
          <t>По выписке ЕГРН</t>
        </is>
      </c>
      <c r="Q10" s="14" t="inlineStr">
        <is>
          <t>77:01:0003036:1085</t>
        </is>
      </c>
      <c r="R10" s="14" t="inlineStr">
        <is>
          <t>77:01:0003036:4449</t>
        </is>
      </c>
      <c r="S10" s="16" t="n">
        <v>289558721</v>
      </c>
      <c r="T10" s="13">
        <f>IF(AND(ISNUMBER(S10),ISNUMBER(H10),H10&gt;0),S10/H10,"")</f>
        <v>229936.251091876</v>
      </c>
      <c r="U10" s="17" t="n">
        <v>57911744.2</v>
      </c>
      <c r="V10" s="17" t="n">
        <v>5791174.42</v>
      </c>
      <c r="W10" s="8" t="inlineStr">
        <is>
          <t>Электронный аукцион на повышение (178-ФЗ)</t>
        </is>
      </c>
      <c r="X10" s="18" t="n">
        <v>46311.83333333334</v>
      </c>
      <c r="Y10" s="19" t="n">
        <v>46351.99930555555</v>
      </c>
      <c r="Z10" s="11">
        <f>IF(ISNUMBER(Y10),MAX(0,INT(Y10-TODAY())),"")</f>
        <v>36</v>
      </c>
      <c r="AA10" s="19" t="n">
        <v>46353.99930555555</v>
      </c>
      <c r="AB10" s="19" t="n">
        <v>46356.45833333334</v>
      </c>
      <c r="AC10" s="45" t="inlineStr">
        <is>
          <t>—</t>
        </is>
      </c>
      <c r="AD10" s="20" t="inlineStr">
        <is>
          <t>открыть ↗</t>
        </is>
      </c>
      <c r="AE10" s="21" t="inlineStr">
        <is>
          <t>открыть ↗</t>
        </is>
      </c>
      <c r="AF10" s="21" t="inlineStr">
        <is>
          <t>открыть ↗</t>
        </is>
      </c>
      <c r="AG10" s="14" t="inlineStr">
        <is>
          <t>roseltorg.ru</t>
        </is>
      </c>
      <c r="AH10" s="14" t="inlineStr">
        <is>
          <t>21000003370000000430</t>
        </is>
      </c>
      <c r="AI10" s="22" t="inlineStr">
        <is>
          <t>Продавец — АО «Почта России», организатор — АО ИФК «Солид». Продаётся единым лотом: здание 1 259,3 м² и участок 621 ± 9 м² (общая площадь 1 880,3 м²). Задаток 20%. Цена, задаток и шаг указаны в извещении torgi.gov.ru (данные взяты с зеркала torgi-ru.com, лот 8152317).</t>
        </is>
      </c>
    </row>
  </sheetData>
  <conditionalFormatting sqref="T2:T10">
    <cfRule type="dataBar" priority="1">
      <dataBar showValue="1">
        <cfvo type="num" val="0"/>
        <cfvo type="max"/>
        <color rgb="00F4A493"/>
      </dataBar>
    </cfRule>
  </conditionalFormatting>
  <conditionalFormatting sqref="L2:L10">
    <cfRule type="cellIs" priority="2" operator="equal" dxfId="0">
      <formula>"Да"</formula>
    </cfRule>
  </conditionalFormatting>
  <conditionalFormatting sqref="Z2:Z10">
    <cfRule type="expression" priority="3" dxfId="1">
      <formula>AND(ISNUMBER(Z2),Z2&lt;=14)</formula>
    </cfRule>
    <cfRule type="expression" priority="4" dxfId="0">
      <formula>AND(ISNUMBER(Z2),AND(Z2&gt;14,Z2&lt;=30))</formula>
    </cfRule>
    <cfRule type="expression" priority="5" dxfId="2">
      <formula>AND(ISNUMBER(Z2),Z2&gt;30)</formula>
    </cfRule>
  </conditionalFormatting>
  <hyperlinks>
    <hyperlink xmlns:r="http://schemas.openxmlformats.org/officeDocument/2006/relationships" ref="AD2" r:id="rId1"/>
    <hyperlink xmlns:r="http://schemas.openxmlformats.org/officeDocument/2006/relationships" ref="AE2" r:id="rId2"/>
    <hyperlink xmlns:r="http://schemas.openxmlformats.org/officeDocument/2006/relationships" ref="AF2" r:id="rId3"/>
    <hyperlink xmlns:r="http://schemas.openxmlformats.org/officeDocument/2006/relationships" ref="AD3" r:id="rId4"/>
    <hyperlink xmlns:r="http://schemas.openxmlformats.org/officeDocument/2006/relationships" ref="AE3" r:id="rId5"/>
    <hyperlink xmlns:r="http://schemas.openxmlformats.org/officeDocument/2006/relationships" ref="AF3" r:id="rId6"/>
    <hyperlink xmlns:r="http://schemas.openxmlformats.org/officeDocument/2006/relationships" ref="AD4" r:id="rId7"/>
    <hyperlink xmlns:r="http://schemas.openxmlformats.org/officeDocument/2006/relationships" ref="AE4" r:id="rId8"/>
    <hyperlink xmlns:r="http://schemas.openxmlformats.org/officeDocument/2006/relationships" ref="AF4" r:id="rId9"/>
    <hyperlink xmlns:r="http://schemas.openxmlformats.org/officeDocument/2006/relationships" ref="AD5" r:id="rId10"/>
    <hyperlink xmlns:r="http://schemas.openxmlformats.org/officeDocument/2006/relationships" ref="AE5" r:id="rId11"/>
    <hyperlink xmlns:r="http://schemas.openxmlformats.org/officeDocument/2006/relationships" ref="AD6" r:id="rId12"/>
    <hyperlink xmlns:r="http://schemas.openxmlformats.org/officeDocument/2006/relationships" ref="AE6" r:id="rId13"/>
    <hyperlink xmlns:r="http://schemas.openxmlformats.org/officeDocument/2006/relationships" ref="AF6" r:id="rId14"/>
    <hyperlink xmlns:r="http://schemas.openxmlformats.org/officeDocument/2006/relationships" ref="AD7" r:id="rId15"/>
    <hyperlink xmlns:r="http://schemas.openxmlformats.org/officeDocument/2006/relationships" ref="AE7" r:id="rId16"/>
    <hyperlink xmlns:r="http://schemas.openxmlformats.org/officeDocument/2006/relationships" ref="AF7" r:id="rId17"/>
    <hyperlink xmlns:r="http://schemas.openxmlformats.org/officeDocument/2006/relationships" ref="AD8" r:id="rId18"/>
    <hyperlink xmlns:r="http://schemas.openxmlformats.org/officeDocument/2006/relationships" ref="AE8" r:id="rId19"/>
    <hyperlink xmlns:r="http://schemas.openxmlformats.org/officeDocument/2006/relationships" ref="AF8" r:id="rId20"/>
    <hyperlink xmlns:r="http://schemas.openxmlformats.org/officeDocument/2006/relationships" ref="AD9" r:id="rId21"/>
    <hyperlink xmlns:r="http://schemas.openxmlformats.org/officeDocument/2006/relationships" ref="AE9" r:id="rId22"/>
    <hyperlink xmlns:r="http://schemas.openxmlformats.org/officeDocument/2006/relationships" ref="AD10" r:id="rId23"/>
    <hyperlink xmlns:r="http://schemas.openxmlformats.org/officeDocument/2006/relationships" ref="AE10" r:id="rId24"/>
    <hyperlink xmlns:r="http://schemas.openxmlformats.org/officeDocument/2006/relationships" ref="AF10" r:id="rId25"/>
  </hyperlinks>
  <pageMargins left="0.75" right="0.75" top="1" bottom="1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26"/>
  </tableParts>
</worksheet>
</file>

<file path=xl/worksheets/sheet2.xml><?xml version="1.0" encoding="utf-8"?>
<worksheet xmlns="http://schemas.openxmlformats.org/spreadsheetml/2006/main">
  <sheetPr>
    <tabColor rgb="00E0533D"/>
    <outlinePr summaryBelow="1" summaryRight="1"/>
    <pageSetUpPr fitToPage="1"/>
  </sheetPr>
  <dimension ref="B1:T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2" customWidth="1" min="5" max="5"/>
    <col width="12" customWidth="1" min="6" max="6"/>
    <col width="12" customWidth="1" min="7" max="7"/>
    <col width="12" customWidth="1" min="8" max="8"/>
    <col width="2" customWidth="1" min="9" max="9"/>
    <col width="12" customWidth="1" min="10" max="10"/>
    <col width="12" customWidth="1" min="11" max="11"/>
    <col width="12" customWidth="1" min="12" max="12"/>
    <col width="2" customWidth="1" min="13" max="13"/>
    <col width="12" customWidth="1" min="14" max="14"/>
    <col width="12" customWidth="1" min="15" max="15"/>
    <col width="12" customWidth="1" min="16" max="16"/>
    <col width="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/>
    <row r="2" ht="16" customHeight="1">
      <c r="B2" s="46" t="inlineStr">
        <is>
          <t>ОБЪЕКТОВ</t>
        </is>
      </c>
      <c r="C2" s="47" t="n"/>
      <c r="D2" s="47" t="n"/>
      <c r="F2" s="46" t="inlineStr">
        <is>
          <t>СУММА НАЧАЛЬНЫХ ЦЕН</t>
        </is>
      </c>
      <c r="G2" s="47" t="n"/>
      <c r="H2" s="47" t="n"/>
      <c r="J2" s="46" t="inlineStr">
        <is>
          <t>ОБЩАЯ ПЛОЩАДЬ</t>
        </is>
      </c>
      <c r="K2" s="47" t="n"/>
      <c r="L2" s="47" t="n"/>
      <c r="N2" s="46" t="inlineStr">
        <is>
          <t>СРЕДНЯЯ ЦЕНА ЗА М²</t>
        </is>
      </c>
      <c r="O2" s="47" t="n"/>
      <c r="P2" s="47" t="n"/>
      <c r="R2" s="46" t="inlineStr">
        <is>
          <t>БЛИЖАЙШИЕ ТОРГИ</t>
        </is>
      </c>
      <c r="S2" s="47" t="n"/>
      <c r="T2" s="47" t="n"/>
    </row>
    <row r="3" ht="30" customHeight="1">
      <c r="B3" s="48">
        <f>COUNTA(Реестр!$C$2:$C$10)</f>
        <v>9</v>
      </c>
      <c r="C3" s="47" t="n"/>
      <c r="D3" s="47" t="n"/>
      <c r="F3" s="49">
        <f>SUM(Реестр!$S$2:$S$10)/1000000</f>
        <v>1342.354981</v>
      </c>
      <c r="G3" s="47" t="n"/>
      <c r="H3" s="47" t="n"/>
      <c r="J3" s="50">
        <f>SUM(Реестр!$H$2:$H$10)</f>
        <v>4791.3</v>
      </c>
      <c r="K3" s="47" t="n"/>
      <c r="L3" s="47" t="n"/>
      <c r="N3" s="51">
        <f>SUM(Реестр!$S$2:$S$10)/SUM(Реестр!$H$2:$H$10)</f>
        <v>280165.086928391</v>
      </c>
      <c r="O3" s="47" t="n"/>
      <c r="P3" s="47" t="n"/>
      <c r="R3" s="52">
        <f>MIN(Реестр!$AB$2:$AB$10)</f>
        <v>46343.416666666664</v>
      </c>
      <c r="S3" s="47" t="n"/>
      <c r="T3" s="47" t="n"/>
    </row>
    <row r="4" ht="16" customHeight="1">
      <c r="B4" s="53" t="inlineStr">
        <is>
          <t>в реестре</t>
        </is>
      </c>
      <c r="C4" s="47" t="n"/>
      <c r="D4" s="47" t="n"/>
      <c r="F4" s="53" t="inlineStr">
        <is>
          <t>по всем лотам</t>
        </is>
      </c>
      <c r="G4" s="47" t="n"/>
      <c r="H4" s="47" t="n"/>
      <c r="J4" s="53" t="inlineStr">
        <is>
          <t>без земельных участков</t>
        </is>
      </c>
      <c r="K4" s="47" t="n"/>
      <c r="L4" s="47" t="n"/>
      <c r="N4" s="53" t="inlineStr">
        <is>
          <t>взвешенная по площади</t>
        </is>
      </c>
      <c r="O4" s="47" t="n"/>
      <c r="P4" s="47" t="n"/>
      <c r="R4" s="53" t="str">
        <f>INDEX(_chart!$C$1:$C$9,MATCH(MIN(Реестр!$AB$2:$AB$10),_chart!$H$1:$H$9,0))</f>
        <v>Бахрушина, 1</v>
      </c>
      <c r="S4" s="47" t="n"/>
      <c r="T4" s="47" t="n"/>
    </row>
  </sheetData>
  <mergeCells count="15">
    <mergeCell ref="B3:D3"/>
    <mergeCell ref="J2:L2"/>
    <mergeCell ref="N2:P2"/>
    <mergeCell ref="R3:T3"/>
    <mergeCell ref="R2:T2"/>
    <mergeCell ref="B4:D4"/>
    <mergeCell ref="R4:T4"/>
    <mergeCell ref="N3:P3"/>
    <mergeCell ref="F4:H4"/>
    <mergeCell ref="F2:H2"/>
    <mergeCell ref="J4:L4"/>
    <mergeCell ref="N4:P4"/>
    <mergeCell ref="F3:H3"/>
    <mergeCell ref="J3:L3"/>
    <mergeCell ref="B2:D2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B2D31"/>
    <outlinePr summaryBelow="1" summaryRight="1"/>
    <pageSetUpPr fitToPage="1"/>
  </sheetPr>
  <dimension ref="A1:K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22" customWidth="1" min="3" max="3"/>
    <col width="12" customWidth="1" min="4" max="4"/>
    <col width="17" customWidth="1" min="5" max="5"/>
    <col width="15" customWidth="1" min="6" max="6"/>
    <col width="16" customWidth="1" min="7" max="7"/>
    <col width="16" customWidth="1" min="8" max="8"/>
    <col width="19" customWidth="1" min="9" max="9"/>
    <col width="16" customWidth="1" min="10" max="10"/>
    <col width="11" customWidth="1" min="11" max="11"/>
  </cols>
  <sheetData>
    <row r="1" ht="24" customHeight="1">
      <c r="A1" s="54" t="inlineStr">
        <is>
          <t>Сортировать по</t>
        </is>
      </c>
      <c r="C1" s="55" t="inlineStr">
        <is>
          <t>Начальная цена, ₽</t>
        </is>
      </c>
      <c r="D1" s="56" t="n"/>
      <c r="E1" s="56" t="n"/>
    </row>
    <row r="2" ht="24" customHeight="1">
      <c r="A2" s="54" t="inlineStr">
        <is>
          <t>Порядок</t>
        </is>
      </c>
      <c r="C2" s="55" t="inlineStr">
        <is>
          <t>По возрастанию</t>
        </is>
      </c>
      <c r="D2" s="56" t="n"/>
      <c r="E2" s="56" t="n"/>
    </row>
    <row r="3" ht="14" customHeight="1"/>
    <row r="4" ht="38" customHeight="1">
      <c r="A4" s="1" t="inlineStr">
        <is>
          <t>Место</t>
        </is>
      </c>
      <c r="B4" s="2" t="inlineStr">
        <is>
          <t>Адрес</t>
        </is>
      </c>
      <c r="C4" s="2" t="inlineStr">
        <is>
          <t>Тип объекта</t>
        </is>
      </c>
      <c r="D4" s="4" t="inlineStr">
        <is>
          <t>Площадь, м²</t>
        </is>
      </c>
      <c r="E4" s="4" t="inlineStr">
        <is>
          <t>Начальная цена, ₽</t>
        </is>
      </c>
      <c r="F4" s="4" t="inlineStr">
        <is>
          <t>Цена за м², ₽</t>
        </is>
      </c>
      <c r="G4" s="1" t="inlineStr">
        <is>
          <t>Приём заявок до</t>
        </is>
      </c>
      <c r="H4" s="1" t="inlineStr">
        <is>
          <t>Дата торгов</t>
        </is>
      </c>
      <c r="I4" s="4" t="inlineStr">
        <is>
          <t>Значение показателя</t>
        </is>
      </c>
      <c r="J4" s="2" t="inlineStr">
        <is>
          <t>Метро</t>
        </is>
      </c>
      <c r="K4" s="1" t="inlineStr">
        <is>
          <t>Дней до конца приёма</t>
        </is>
      </c>
    </row>
    <row r="5" ht="34" customHeight="1">
      <c r="A5" s="57" t="n">
        <v>1</v>
      </c>
      <c r="B5" s="58" t="str">
        <f>IFERROR(INDEX(Реестр!$A$2:$AI$10,MATCH(1,_calc!$C$1:$C$9,0),MATCH("Адрес",Реестр!$A$1:$AI$1,0)),"")</f>
        <v>Малый Златоустинский пер., д. 8, стр. 1, этаж 1</v>
      </c>
      <c r="C5" s="59" t="str">
        <f>IFERROR(INDEX(Реестр!$A$2:$AI$10,MATCH(1,_calc!$C$1:$C$9,0),MATCH("Тип объекта",Реестр!$A$1:$AI$1,0)),"")</f>
        <v>Нежилое помещение</v>
      </c>
      <c r="D5" s="60">
        <f>IFERROR(INDEX(Реестр!$A$2:$AI$10,MATCH(1,_calc!$C$1:$C$9,0),MATCH("Площадь, м²",Реестр!$A$1:$AI$1,0)),"")</f>
        <v>42.3</v>
      </c>
      <c r="E5" s="61">
        <f>IFERROR(INDEX(Реестр!$A$2:$AI$10,MATCH(1,_calc!$C$1:$C$9,0),MATCH("Начальная цена, ₽",Реестр!$A$1:$AI$1,0)),"")</f>
        <v>15384000</v>
      </c>
      <c r="F5" s="61">
        <f>IFERROR(INDEX(Реестр!$A$2:$AI$10,MATCH(1,_calc!$C$1:$C$9,0),MATCH("Цена за м², ₽",Реестр!$A$1:$AI$1,0)),"")</f>
        <v>363687.943262411</v>
      </c>
      <c r="G5" s="62">
        <f>IFERROR(INDEX(Реестр!$A$2:$AI$10,MATCH(1,_calc!$C$1:$C$9,0),MATCH("Приём заявок до",Реестр!$A$1:$AI$1,0)),"")</f>
        <v>46335.625</v>
      </c>
      <c r="H5" s="62">
        <f>IFERROR(INDEX(Реестр!$A$2:$AI$10,MATCH(1,_calc!$C$1:$C$9,0),MATCH("Дата торгов",Реестр!$A$1:$AI$1,0)),"")</f>
        <v>46344.416666666664</v>
      </c>
      <c r="I5" s="63">
        <f>IFERROR(IF(AND(OR($C$1="Приём заявок до",$C$1="Дата торгов"),ISNUMBER(INDEX(_calc!$A$1:$A$9,MATCH(1,_calc!$C$1:$C$9,0)))),RIGHT("0"&amp;DAY(INDEX(_calc!$A$1:$A$9,MATCH(1,_calc!$C$1:$C$9,0))),2)&amp;"."&amp;RIGHT("0"&amp;MONTH(INDEX(_calc!$A$1:$A$9,MATCH(1,_calc!$C$1:$C$9,0))),2)&amp;"."&amp;YEAR(INDEX(_calc!$A$1:$A$9,MATCH(1,_calc!$C$1:$C$9,0))),INDEX(_calc!$A$1:$A$9,MATCH(1,_calc!$C$1:$C$9,0))),"")</f>
        <v>15384000</v>
      </c>
      <c r="J5" s="59" t="str">
        <f>IFERROR(INDEX(Реестр!$A$2:$AI$10,MATCH(1,_calc!$C$1:$C$9,0),MATCH("Метро",Реестр!$A$1:$AI$1,0)),"")</f>
        <v>Китай-город</v>
      </c>
      <c r="K5" s="64">
        <f>IFERROR(INDEX(Реестр!$A$2:$AI$10,MATCH(1,_calc!$C$1:$C$9,0),MATCH("Дней до конца приёма",Реестр!$A$1:$AI$1,0)),"")</f>
        <v>20</v>
      </c>
    </row>
    <row r="6" ht="34" customHeight="1">
      <c r="A6" s="57" t="n">
        <v>2</v>
      </c>
      <c r="B6" s="58" t="str">
        <f>IFERROR(INDEX(Реестр!$A$2:$AI$10,MATCH(2,_calc!$C$1:$C$9,0),MATCH("Адрес",Реестр!$A$1:$AI$1,0)),"")</f>
        <v>Большая Никитская ул., д. 21/18, стр. 1, этаж 1</v>
      </c>
      <c r="C6" s="59" t="str">
        <f>IFERROR(INDEX(Реестр!$A$2:$AI$10,MATCH(2,_calc!$C$1:$C$9,0),MATCH("Тип объекта",Реестр!$A$1:$AI$1,0)),"")</f>
        <v>Нежилое помещение</v>
      </c>
      <c r="D6" s="60">
        <f>IFERROR(INDEX(Реестр!$A$2:$AI$10,MATCH(2,_calc!$C$1:$C$9,0),MATCH("Площадь, м²",Реестр!$A$1:$AI$1,0)),"")</f>
        <v>13.1</v>
      </c>
      <c r="E6" s="61">
        <f>IFERROR(INDEX(Реестр!$A$2:$AI$10,MATCH(2,_calc!$C$1:$C$9,0),MATCH("Начальная цена, ₽",Реестр!$A$1:$AI$1,0)),"")</f>
        <v>17225000</v>
      </c>
      <c r="F6" s="61">
        <f>IFERROR(INDEX(Реестр!$A$2:$AI$10,MATCH(2,_calc!$C$1:$C$9,0),MATCH("Цена за м², ₽",Реестр!$A$1:$AI$1,0)),"")</f>
        <v>1314885.49618321</v>
      </c>
      <c r="G6" s="62">
        <f>IFERROR(INDEX(Реестр!$A$2:$AI$10,MATCH(2,_calc!$C$1:$C$9,0),MATCH("Приём заявок до",Реестр!$A$1:$AI$1,0)),"")</f>
        <v>46337.625</v>
      </c>
      <c r="H6" s="62">
        <f>IFERROR(INDEX(Реестр!$A$2:$AI$10,MATCH(2,_calc!$C$1:$C$9,0),MATCH("Дата торгов",Реестр!$A$1:$AI$1,0)),"")</f>
        <v>46346.416666666664</v>
      </c>
      <c r="I6" s="63">
        <f>IFERROR(IF(AND(OR($C$1="Приём заявок до",$C$1="Дата торгов"),ISNUMBER(INDEX(_calc!$A$1:$A$9,MATCH(2,_calc!$C$1:$C$9,0)))),RIGHT("0"&amp;DAY(INDEX(_calc!$A$1:$A$9,MATCH(2,_calc!$C$1:$C$9,0))),2)&amp;"."&amp;RIGHT("0"&amp;MONTH(INDEX(_calc!$A$1:$A$9,MATCH(2,_calc!$C$1:$C$9,0))),2)&amp;"."&amp;YEAR(INDEX(_calc!$A$1:$A$9,MATCH(2,_calc!$C$1:$C$9,0))),INDEX(_calc!$A$1:$A$9,MATCH(2,_calc!$C$1:$C$9,0))),"")</f>
        <v>17225000</v>
      </c>
      <c r="J6" s="59" t="str">
        <f>IFERROR(INDEX(Реестр!$A$2:$AI$10,MATCH(2,_calc!$C$1:$C$9,0),MATCH("Метро",Реестр!$A$1:$AI$1,0)),"")</f>
        <v>Арбатская</v>
      </c>
      <c r="K6" s="64">
        <f>IFERROR(INDEX(Реестр!$A$2:$AI$10,MATCH(2,_calc!$C$1:$C$9,0),MATCH("Дней до конца приёма",Реестр!$A$1:$AI$1,0)),"")</f>
        <v>22</v>
      </c>
    </row>
    <row r="7" ht="34" customHeight="1">
      <c r="A7" s="57" t="n">
        <v>3</v>
      </c>
      <c r="B7" s="58" t="str">
        <f>IFERROR(INDEX(Реестр!$A$2:$AI$10,MATCH(3,_calc!$C$1:$C$9,0),MATCH("Адрес",Реестр!$A$1:$AI$1,0)),"")</f>
        <v>ул. Бахрушина, д. 1, стр. 1, этаж 1, помещение 5/1</v>
      </c>
      <c r="C7" s="59" t="str">
        <f>IFERROR(INDEX(Реестр!$A$2:$AI$10,MATCH(3,_calc!$C$1:$C$9,0),MATCH("Тип объекта",Реестр!$A$1:$AI$1,0)),"")</f>
        <v>Нежилое помещение</v>
      </c>
      <c r="D7" s="60">
        <f>IFERROR(INDEX(Реестр!$A$2:$AI$10,MATCH(3,_calc!$C$1:$C$9,0),MATCH("Площадь, м²",Реестр!$A$1:$AI$1,0)),"")</f>
        <v>167.1</v>
      </c>
      <c r="E7" s="61">
        <f>IFERROR(INDEX(Реестр!$A$2:$AI$10,MATCH(3,_calc!$C$1:$C$9,0),MATCH("Начальная цена, ₽",Реестр!$A$1:$AI$1,0)),"")</f>
        <v>50797000</v>
      </c>
      <c r="F7" s="61">
        <f>IFERROR(INDEX(Реестр!$A$2:$AI$10,MATCH(3,_calc!$C$1:$C$9,0),MATCH("Цена за м², ₽",Реестр!$A$1:$AI$1,0)),"")</f>
        <v>303991.621783363</v>
      </c>
      <c r="G7" s="62">
        <f>IFERROR(INDEX(Реестр!$A$2:$AI$10,MATCH(3,_calc!$C$1:$C$9,0),MATCH("Приём заявок до",Реестр!$A$1:$AI$1,0)),"")</f>
        <v>46335.625</v>
      </c>
      <c r="H7" s="62">
        <f>IFERROR(INDEX(Реестр!$A$2:$AI$10,MATCH(3,_calc!$C$1:$C$9,0),MATCH("Дата торгов",Реестр!$A$1:$AI$1,0)),"")</f>
        <v>46343.416666666664</v>
      </c>
      <c r="I7" s="63">
        <f>IFERROR(IF(AND(OR($C$1="Приём заявок до",$C$1="Дата торгов"),ISNUMBER(INDEX(_calc!$A$1:$A$9,MATCH(3,_calc!$C$1:$C$9,0)))),RIGHT("0"&amp;DAY(INDEX(_calc!$A$1:$A$9,MATCH(3,_calc!$C$1:$C$9,0))),2)&amp;"."&amp;RIGHT("0"&amp;MONTH(INDEX(_calc!$A$1:$A$9,MATCH(3,_calc!$C$1:$C$9,0))),2)&amp;"."&amp;YEAR(INDEX(_calc!$A$1:$A$9,MATCH(3,_calc!$C$1:$C$9,0))),INDEX(_calc!$A$1:$A$9,MATCH(3,_calc!$C$1:$C$9,0))),"")</f>
        <v>50797000</v>
      </c>
      <c r="J7" s="59" t="str">
        <f>IFERROR(INDEX(Реестр!$A$2:$AI$10,MATCH(3,_calc!$C$1:$C$9,0),MATCH("Метро",Реестр!$A$1:$AI$1,0)),"")</f>
        <v>Павелецкая</v>
      </c>
      <c r="K7" s="64">
        <f>IFERROR(INDEX(Реестр!$A$2:$AI$10,MATCH(3,_calc!$C$1:$C$9,0),MATCH("Дней до конца приёма",Реестр!$A$1:$AI$1,0)),"")</f>
        <v>20</v>
      </c>
    </row>
    <row r="8" ht="34" customHeight="1">
      <c r="A8" s="65" t="n">
        <v>4</v>
      </c>
      <c r="B8" s="25" t="str">
        <f>IFERROR(INDEX(Реестр!$A$2:$AI$10,MATCH(4,_calc!$C$1:$C$9,0),MATCH("Адрес",Реестр!$A$1:$AI$1,0)),"")</f>
        <v>Большая Сухаревская пл., д. 1/2, стр. 1, помещ. 3/1</v>
      </c>
      <c r="C8" s="24" t="str">
        <f>IFERROR(INDEX(Реестр!$A$2:$AI$10,MATCH(4,_calc!$C$1:$C$9,0),MATCH("Тип объекта",Реестр!$A$1:$AI$1,0)),"")</f>
        <v>Нежилое помещение</v>
      </c>
      <c r="D8" s="66">
        <f>IFERROR(INDEX(Реестр!$A$2:$AI$10,MATCH(4,_calc!$C$1:$C$9,0),MATCH("Площадь, м²",Реестр!$A$1:$AI$1,0)),"")</f>
        <v>315.5</v>
      </c>
      <c r="E8" s="29">
        <f>IFERROR(INDEX(Реестр!$A$2:$AI$10,MATCH(4,_calc!$C$1:$C$9,0),MATCH("Начальная цена, ₽",Реестр!$A$1:$AI$1,0)),"")</f>
        <v>112951260</v>
      </c>
      <c r="F8" s="29">
        <f>IFERROR(INDEX(Реестр!$A$2:$AI$10,MATCH(4,_calc!$C$1:$C$9,0),MATCH("Цена за м², ₽",Реестр!$A$1:$AI$1,0)),"")</f>
        <v>358007.163232964</v>
      </c>
      <c r="G8" s="67">
        <f>IFERROR(INDEX(Реестр!$A$2:$AI$10,MATCH(4,_calc!$C$1:$C$9,0),MATCH("Приём заявок до",Реестр!$A$1:$AI$1,0)),"")</f>
        <v>46369.583333333336</v>
      </c>
      <c r="H8" s="67">
        <f>IFERROR(INDEX(Реестр!$A$2:$AI$10,MATCH(4,_calc!$C$1:$C$9,0),MATCH("Дата торгов",Реестр!$A$1:$AI$1,0)),"")</f>
        <v>46373.458333333336</v>
      </c>
      <c r="I8" s="68">
        <f>IFERROR(IF(AND(OR($C$1="Приём заявок до",$C$1="Дата торгов"),ISNUMBER(INDEX(_calc!$A$1:$A$9,MATCH(4,_calc!$C$1:$C$9,0)))),RIGHT("0"&amp;DAY(INDEX(_calc!$A$1:$A$9,MATCH(4,_calc!$C$1:$C$9,0))),2)&amp;"."&amp;RIGHT("0"&amp;MONTH(INDEX(_calc!$A$1:$A$9,MATCH(4,_calc!$C$1:$C$9,0))),2)&amp;"."&amp;YEAR(INDEX(_calc!$A$1:$A$9,MATCH(4,_calc!$C$1:$C$9,0))),INDEX(_calc!$A$1:$A$9,MATCH(4,_calc!$C$1:$C$9,0))),"")</f>
        <v>112951260</v>
      </c>
      <c r="J8" s="24" t="str">
        <f>IFERROR(INDEX(Реестр!$A$2:$AI$10,MATCH(4,_calc!$C$1:$C$9,0),MATCH("Метро",Реестр!$A$1:$AI$1,0)),"")</f>
        <v>Сухаревская</v>
      </c>
      <c r="K8" s="27">
        <f>IFERROR(INDEX(Реестр!$A$2:$AI$10,MATCH(4,_calc!$C$1:$C$9,0),MATCH("Дней до конца приёма",Реестр!$A$1:$AI$1,0)),"")</f>
        <v>54</v>
      </c>
    </row>
    <row r="9" ht="34" customHeight="1">
      <c r="A9" s="69" t="n">
        <v>5</v>
      </c>
      <c r="B9" s="9" t="str">
        <f>IFERROR(INDEX(Реестр!$A$2:$AI$10,MATCH(5,_calc!$C$1:$C$9,0),MATCH("Адрес",Реестр!$A$1:$AI$1,0)),"")</f>
        <v>Каширское ш., д. 88/26, стр. 2</v>
      </c>
      <c r="C9" s="8" t="str">
        <f>IFERROR(INDEX(Реестр!$A$2:$AI$10,MATCH(5,_calc!$C$1:$C$9,0),MATCH("Тип объекта",Реестр!$A$1:$AI$1,0)),"")</f>
        <v>Здание + земельный участок</v>
      </c>
      <c r="D9" s="70">
        <f>IFERROR(INDEX(Реестр!$A$2:$AI$10,MATCH(5,_calc!$C$1:$C$9,0),MATCH("Площадь, м²",Реестр!$A$1:$AI$1,0)),"")</f>
        <v>898.3</v>
      </c>
      <c r="E9" s="13">
        <f>IFERROR(INDEX(Реестр!$A$2:$AI$10,MATCH(5,_calc!$C$1:$C$9,0),MATCH("Начальная цена, ₽",Реестр!$A$1:$AI$1,0)),"")</f>
        <v>158898000</v>
      </c>
      <c r="F9" s="13">
        <f>IFERROR(INDEX(Реестр!$A$2:$AI$10,MATCH(5,_calc!$C$1:$C$9,0),MATCH("Цена за м², ₽",Реестр!$A$1:$AI$1,0)),"")</f>
        <v>176887.454079929</v>
      </c>
      <c r="G9" s="71">
        <f>IFERROR(INDEX(Реестр!$A$2:$AI$10,MATCH(5,_calc!$C$1:$C$9,0),MATCH("Приём заявок до",Реестр!$A$1:$AI$1,0)),"")</f>
        <v>46335.625</v>
      </c>
      <c r="H9" s="71">
        <f>IFERROR(INDEX(Реестр!$A$2:$AI$10,MATCH(5,_calc!$C$1:$C$9,0),MATCH("Дата торгов",Реестр!$A$1:$AI$1,0)),"")</f>
        <v>46343.416666666664</v>
      </c>
      <c r="I9" s="72">
        <f>IFERROR(IF(AND(OR($C$1="Приём заявок до",$C$1="Дата торгов"),ISNUMBER(INDEX(_calc!$A$1:$A$9,MATCH(5,_calc!$C$1:$C$9,0)))),RIGHT("0"&amp;DAY(INDEX(_calc!$A$1:$A$9,MATCH(5,_calc!$C$1:$C$9,0))),2)&amp;"."&amp;RIGHT("0"&amp;MONTH(INDEX(_calc!$A$1:$A$9,MATCH(5,_calc!$C$1:$C$9,0))),2)&amp;"."&amp;YEAR(INDEX(_calc!$A$1:$A$9,MATCH(5,_calc!$C$1:$C$9,0))),INDEX(_calc!$A$1:$A$9,MATCH(5,_calc!$C$1:$C$9,0))),"")</f>
        <v>158898000</v>
      </c>
      <c r="J9" s="8" t="str">
        <f>IFERROR(INDEX(Реестр!$A$2:$AI$10,MATCH(5,_calc!$C$1:$C$9,0),MATCH("Метро",Реестр!$A$1:$AI$1,0)),"")</f>
        <v>Домодедовская</v>
      </c>
      <c r="K9" s="11">
        <f>IFERROR(INDEX(Реестр!$A$2:$AI$10,MATCH(5,_calc!$C$1:$C$9,0),MATCH("Дней до конца приёма",Реестр!$A$1:$AI$1,0)),"")</f>
        <v>20</v>
      </c>
    </row>
    <row r="10" ht="34" customHeight="1">
      <c r="A10" s="65" t="n">
        <v>6</v>
      </c>
      <c r="B10" s="25" t="str">
        <f>IFERROR(INDEX(Реестр!$A$2:$AI$10,MATCH(6,_calc!$C$1:$C$9,0),MATCH("Адрес",Реестр!$A$1:$AI$1,0)),"")</f>
        <v>Неглинная ул., д. 18/1, стр. 2</v>
      </c>
      <c r="C10" s="24" t="str">
        <f>IFERROR(INDEX(Реестр!$A$2:$AI$10,MATCH(6,_calc!$C$1:$C$9,0),MATCH("Тип объекта",Реестр!$A$1:$AI$1,0)),"")</f>
        <v>Здание + земельный участок</v>
      </c>
      <c r="D10" s="66">
        <f>IFERROR(INDEX(Реестр!$A$2:$AI$10,MATCH(6,_calc!$C$1:$C$9,0),MATCH("Площадь, м²",Реестр!$A$1:$AI$1,0)),"")</f>
        <v>634.4</v>
      </c>
      <c r="E10" s="29">
        <f>IFERROR(INDEX(Реестр!$A$2:$AI$10,MATCH(6,_calc!$C$1:$C$9,0),MATCH("Начальная цена, ₽",Реестр!$A$1:$AI$1,0)),"")</f>
        <v>195014000</v>
      </c>
      <c r="F10" s="29">
        <f>IFERROR(INDEX(Реестр!$A$2:$AI$10,MATCH(6,_calc!$C$1:$C$9,0),MATCH("Цена за м², ₽",Реестр!$A$1:$AI$1,0)),"")</f>
        <v>307399.117276166</v>
      </c>
      <c r="G10" s="67">
        <f>IFERROR(INDEX(Реестр!$A$2:$AI$10,MATCH(6,_calc!$C$1:$C$9,0),MATCH("Приём заявок до",Реестр!$A$1:$AI$1,0)),"")</f>
        <v>46335.625</v>
      </c>
      <c r="H10" s="67">
        <f>IFERROR(INDEX(Реестр!$A$2:$AI$10,MATCH(6,_calc!$C$1:$C$9,0),MATCH("Дата торгов",Реестр!$A$1:$AI$1,0)),"")</f>
        <v>46343.416666666664</v>
      </c>
      <c r="I10" s="68">
        <f>IFERROR(IF(AND(OR($C$1="Приём заявок до",$C$1="Дата торгов"),ISNUMBER(INDEX(_calc!$A$1:$A$9,MATCH(6,_calc!$C$1:$C$9,0)))),RIGHT("0"&amp;DAY(INDEX(_calc!$A$1:$A$9,MATCH(6,_calc!$C$1:$C$9,0))),2)&amp;"."&amp;RIGHT("0"&amp;MONTH(INDEX(_calc!$A$1:$A$9,MATCH(6,_calc!$C$1:$C$9,0))),2)&amp;"."&amp;YEAR(INDEX(_calc!$A$1:$A$9,MATCH(6,_calc!$C$1:$C$9,0))),INDEX(_calc!$A$1:$A$9,MATCH(6,_calc!$C$1:$C$9,0))),"")</f>
        <v>195014000</v>
      </c>
      <c r="J10" s="24" t="str">
        <f>IFERROR(INDEX(Реестр!$A$2:$AI$10,MATCH(6,_calc!$C$1:$C$9,0),MATCH("Метро",Реестр!$A$1:$AI$1,0)),"")</f>
        <v>Трубная</v>
      </c>
      <c r="K10" s="27">
        <f>IFERROR(INDEX(Реестр!$A$2:$AI$10,MATCH(6,_calc!$C$1:$C$9,0),MATCH("Дней до конца приёма",Реестр!$A$1:$AI$1,0)),"")</f>
        <v>20</v>
      </c>
    </row>
    <row r="11" ht="34" customHeight="1">
      <c r="A11" s="69" t="n">
        <v>7</v>
      </c>
      <c r="B11" s="9" t="str">
        <f>IFERROR(INDEX(Реестр!$A$2:$AI$10,MATCH(7,_calc!$C$1:$C$9,0),MATCH("Адрес",Реестр!$A$1:$AI$1,0)),"")</f>
        <v>ул. Покровка, д. 19, этаж 1</v>
      </c>
      <c r="C11" s="8" t="str">
        <f>IFERROR(INDEX(Реестр!$A$2:$AI$10,MATCH(7,_calc!$C$1:$C$9,0),MATCH("Тип объекта",Реестр!$A$1:$AI$1,0)),"")</f>
        <v>Нежилое помещение</v>
      </c>
      <c r="D11" s="70">
        <f>IFERROR(INDEX(Реестр!$A$2:$AI$10,MATCH(7,_calc!$C$1:$C$9,0),MATCH("Площадь, м²",Реестр!$A$1:$AI$1,0)),"")</f>
        <v>431.2</v>
      </c>
      <c r="E11" s="13">
        <f>IFERROR(INDEX(Реестр!$A$2:$AI$10,MATCH(7,_calc!$C$1:$C$9,0),MATCH("Начальная цена, ₽",Реестр!$A$1:$AI$1,0)),"")</f>
        <v>239527000</v>
      </c>
      <c r="F11" s="13">
        <f>IFERROR(INDEX(Реестр!$A$2:$AI$10,MATCH(7,_calc!$C$1:$C$9,0),MATCH("Цена за м², ₽",Реестр!$A$1:$AI$1,0)),"")</f>
        <v>555489.332096475</v>
      </c>
      <c r="G11" s="71">
        <f>IFERROR(INDEX(Реестр!$A$2:$AI$10,MATCH(7,_calc!$C$1:$C$9,0),MATCH("Приём заявок до",Реестр!$A$1:$AI$1,0)),"")</f>
        <v>46342.625</v>
      </c>
      <c r="H11" s="71">
        <f>IFERROR(INDEX(Реестр!$A$2:$AI$10,MATCH(7,_calc!$C$1:$C$9,0),MATCH("Дата торгов",Реестр!$A$1:$AI$1,0)),"")</f>
        <v>46350.416666666664</v>
      </c>
      <c r="I11" s="72">
        <f>IFERROR(IF(AND(OR($C$1="Приём заявок до",$C$1="Дата торгов"),ISNUMBER(INDEX(_calc!$A$1:$A$9,MATCH(7,_calc!$C$1:$C$9,0)))),RIGHT("0"&amp;DAY(INDEX(_calc!$A$1:$A$9,MATCH(7,_calc!$C$1:$C$9,0))),2)&amp;"."&amp;RIGHT("0"&amp;MONTH(INDEX(_calc!$A$1:$A$9,MATCH(7,_calc!$C$1:$C$9,0))),2)&amp;"."&amp;YEAR(INDEX(_calc!$A$1:$A$9,MATCH(7,_calc!$C$1:$C$9,0))),INDEX(_calc!$A$1:$A$9,MATCH(7,_calc!$C$1:$C$9,0))),"")</f>
        <v>239527000</v>
      </c>
      <c r="J11" s="8" t="str">
        <f>IFERROR(INDEX(Реестр!$A$2:$AI$10,MATCH(7,_calc!$C$1:$C$9,0),MATCH("Метро",Реестр!$A$1:$AI$1,0)),"")</f>
        <v>Чистые пруды</v>
      </c>
      <c r="K11" s="11">
        <f>IFERROR(INDEX(Реестр!$A$2:$AI$10,MATCH(7,_calc!$C$1:$C$9,0),MATCH("Дней до конца приёма",Реестр!$A$1:$AI$1,0)),"")</f>
        <v>27</v>
      </c>
    </row>
    <row r="12" ht="34" customHeight="1">
      <c r="A12" s="65" t="n">
        <v>8</v>
      </c>
      <c r="B12" s="25" t="str">
        <f>IFERROR(INDEX(Реестр!$A$2:$AI$10,MATCH(8,_calc!$C$1:$C$9,0),MATCH("Адрес",Реестр!$A$1:$AI$1,0)),"")</f>
        <v>Пятницкая ул., д. 15</v>
      </c>
      <c r="C12" s="24" t="str">
        <f>IFERROR(INDEX(Реестр!$A$2:$AI$10,MATCH(8,_calc!$C$1:$C$9,0),MATCH("Тип объекта",Реестр!$A$1:$AI$1,0)),"")</f>
        <v>Здание</v>
      </c>
      <c r="D12" s="66">
        <f>IFERROR(INDEX(Реестр!$A$2:$AI$10,MATCH(8,_calc!$C$1:$C$9,0),MATCH("Площадь, м²",Реестр!$A$1:$AI$1,0)),"")</f>
        <v>1030.1</v>
      </c>
      <c r="E12" s="29">
        <f>IFERROR(INDEX(Реестр!$A$2:$AI$10,MATCH(8,_calc!$C$1:$C$9,0),MATCH("Начальная цена, ₽",Реестр!$A$1:$AI$1,0)),"")</f>
        <v>263000000</v>
      </c>
      <c r="F12" s="29">
        <f>IFERROR(INDEX(Реестр!$A$2:$AI$10,MATCH(8,_calc!$C$1:$C$9,0),MATCH("Цена за м², ₽",Реестр!$A$1:$AI$1,0)),"")</f>
        <v>255315.017959421</v>
      </c>
      <c r="G12" s="67">
        <f>IFERROR(INDEX(Реестр!$A$2:$AI$10,MATCH(8,_calc!$C$1:$C$9,0),MATCH("Приём заявок до",Реестр!$A$1:$AI$1,0)),"")</f>
        <v>46339.625</v>
      </c>
      <c r="H12" s="67">
        <f>IFERROR(INDEX(Реестр!$A$2:$AI$10,MATCH(8,_calc!$C$1:$C$9,0),MATCH("Дата торгов",Реестр!$A$1:$AI$1,0)),"")</f>
        <v>46346.416666666664</v>
      </c>
      <c r="I12" s="68">
        <f>IFERROR(IF(AND(OR($C$1="Приём заявок до",$C$1="Дата торгов"),ISNUMBER(INDEX(_calc!$A$1:$A$9,MATCH(8,_calc!$C$1:$C$9,0)))),RIGHT("0"&amp;DAY(INDEX(_calc!$A$1:$A$9,MATCH(8,_calc!$C$1:$C$9,0))),2)&amp;"."&amp;RIGHT("0"&amp;MONTH(INDEX(_calc!$A$1:$A$9,MATCH(8,_calc!$C$1:$C$9,0))),2)&amp;"."&amp;YEAR(INDEX(_calc!$A$1:$A$9,MATCH(8,_calc!$C$1:$C$9,0))),INDEX(_calc!$A$1:$A$9,MATCH(8,_calc!$C$1:$C$9,0))),"")</f>
        <v>263000000</v>
      </c>
      <c r="J12" s="24" t="str">
        <f>IFERROR(INDEX(Реестр!$A$2:$AI$10,MATCH(8,_calc!$C$1:$C$9,0),MATCH("Метро",Реестр!$A$1:$AI$1,0)),"")</f>
        <v>Новокузнецкая</v>
      </c>
      <c r="K12" s="27">
        <f>IFERROR(INDEX(Реестр!$A$2:$AI$10,MATCH(8,_calc!$C$1:$C$9,0),MATCH("Дней до конца приёма",Реестр!$A$1:$AI$1,0)),"")</f>
        <v>24</v>
      </c>
    </row>
    <row r="13" ht="34" customHeight="1">
      <c r="A13" s="69" t="n">
        <v>9</v>
      </c>
      <c r="B13" s="9" t="str">
        <f>IFERROR(INDEX(Реестр!$A$2:$AI$10,MATCH(9,_calc!$C$1:$C$9,0),MATCH("Адрес",Реестр!$A$1:$AI$1,0)),"")</f>
        <v>Краснопрудная ул., д. 3Б (земельный участок 3/5/1), здание Ярославского ПЖДП</v>
      </c>
      <c r="C13" s="8" t="str">
        <f>IFERROR(INDEX(Реестр!$A$2:$AI$10,MATCH(9,_calc!$C$1:$C$9,0),MATCH("Тип объекта",Реестр!$A$1:$AI$1,0)),"")</f>
        <v>Здание + земельный участок</v>
      </c>
      <c r="D13" s="70">
        <f>IFERROR(INDEX(Реестр!$A$2:$AI$10,MATCH(9,_calc!$C$1:$C$9,0),MATCH("Площадь, м²",Реестр!$A$1:$AI$1,0)),"")</f>
        <v>1259.3</v>
      </c>
      <c r="E13" s="13">
        <f>IFERROR(INDEX(Реестр!$A$2:$AI$10,MATCH(9,_calc!$C$1:$C$9,0),MATCH("Начальная цена, ₽",Реестр!$A$1:$AI$1,0)),"")</f>
        <v>289558721</v>
      </c>
      <c r="F13" s="13">
        <f>IFERROR(INDEX(Реестр!$A$2:$AI$10,MATCH(9,_calc!$C$1:$C$9,0),MATCH("Цена за м², ₽",Реестр!$A$1:$AI$1,0)),"")</f>
        <v>229936.251091876</v>
      </c>
      <c r="G13" s="71">
        <f>IFERROR(INDEX(Реестр!$A$2:$AI$10,MATCH(9,_calc!$C$1:$C$9,0),MATCH("Приём заявок до",Реестр!$A$1:$AI$1,0)),"")</f>
        <v>46351.99930555555</v>
      </c>
      <c r="H13" s="71">
        <f>IFERROR(INDEX(Реестр!$A$2:$AI$10,MATCH(9,_calc!$C$1:$C$9,0),MATCH("Дата торгов",Реестр!$A$1:$AI$1,0)),"")</f>
        <v>46356.458333333336</v>
      </c>
      <c r="I13" s="72">
        <f>IFERROR(IF(AND(OR($C$1="Приём заявок до",$C$1="Дата торгов"),ISNUMBER(INDEX(_calc!$A$1:$A$9,MATCH(9,_calc!$C$1:$C$9,0)))),RIGHT("0"&amp;DAY(INDEX(_calc!$A$1:$A$9,MATCH(9,_calc!$C$1:$C$9,0))),2)&amp;"."&amp;RIGHT("0"&amp;MONTH(INDEX(_calc!$A$1:$A$9,MATCH(9,_calc!$C$1:$C$9,0))),2)&amp;"."&amp;YEAR(INDEX(_calc!$A$1:$A$9,MATCH(9,_calc!$C$1:$C$9,0))),INDEX(_calc!$A$1:$A$9,MATCH(9,_calc!$C$1:$C$9,0))),"")</f>
        <v>289558721</v>
      </c>
      <c r="J13" s="8" t="str">
        <f>IFERROR(INDEX(Реестр!$A$2:$AI$10,MATCH(9,_calc!$C$1:$C$9,0),MATCH("Метро",Реестр!$A$1:$AI$1,0)),"")</f>
        <v>Красносельская</v>
      </c>
      <c r="K13" s="11">
        <f>IFERROR(INDEX(Реестр!$A$2:$AI$10,MATCH(9,_calc!$C$1:$C$9,0),MATCH("Дней до конца приёма",Реестр!$A$1:$AI$1,0)),"")</f>
        <v>36</v>
      </c>
    </row>
  </sheetData>
  <mergeCells count="4">
    <mergeCell ref="C2:E2"/>
    <mergeCell ref="C1:E1"/>
    <mergeCell ref="A2:B2"/>
    <mergeCell ref="A1:B1"/>
  </mergeCells>
  <conditionalFormatting sqref="F5:F13">
    <cfRule type="dataBar" priority="1">
      <dataBar showValue="1">
        <cfvo type="num" val="0"/>
        <cfvo type="max"/>
        <color rgb="00F4A493"/>
      </dataBar>
    </cfRule>
  </conditionalFormatting>
  <dataValidations count="2">
    <dataValidation sqref="C1" showDropDown="0" showInputMessage="0" showErrorMessage="0" allowBlank="0" type="list">
      <formula1>=_calc!$D$1:$D$10</formula1>
    </dataValidation>
    <dataValidation sqref="C2" showDropDown="0" showInputMessage="0" showErrorMessage="0" allowBlank="0" type="list">
      <formula1>=_calc!$E$1:$E$2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>
        <f>INDEX(Реестр!$A$2:$AI$10,1,MATCH(Сортировка!$C$1,Реестр!$A$1:$AI$1,0))</f>
        <v>15384000</v>
      </c>
      <c r="B1">
        <f>IF(ISNUMBER(A1),IF(Сортировка!$C$2="По убыванию",-A1,A1),1E+300)</f>
        <v>15384000</v>
      </c>
      <c r="C1">
        <f>COUNTIF($B$1:$B$9,"&lt;"&amp;B1)+COUNTIF($B$1:B1,B1)</f>
        <v>1</v>
      </c>
      <c r="D1" t="inlineStr">
        <is>
          <t>Начальная цена, ₽</t>
        </is>
      </c>
      <c r="E1" t="inlineStr">
        <is>
          <t>По возрастанию</t>
        </is>
      </c>
    </row>
    <row r="2">
      <c r="A2">
        <f>INDEX(Реестр!$A$2:$AI$10,2,MATCH(Сортировка!$C$1,Реестр!$A$1:$AI$1,0))</f>
        <v>17225000</v>
      </c>
      <c r="B2">
        <f>IF(ISNUMBER(A2),IF(Сортировка!$C$2="По убыванию",-A2,A2),1E+300)</f>
        <v>17225000</v>
      </c>
      <c r="C2">
        <f>COUNTIF($B$1:$B$9,"&lt;"&amp;B2)+COUNTIF($B$1:B2,B2)</f>
        <v>2</v>
      </c>
      <c r="D2" t="inlineStr">
        <is>
          <t>Цена за м², ₽</t>
        </is>
      </c>
      <c r="E2" t="inlineStr">
        <is>
          <t>По убыванию</t>
        </is>
      </c>
    </row>
    <row r="3">
      <c r="A3">
        <f>INDEX(Реестр!$A$2:$AI$10,3,MATCH(Сортировка!$C$1,Реестр!$A$1:$AI$1,0))</f>
        <v>50797000</v>
      </c>
      <c r="B3">
        <f>IF(ISNUMBER(A3),IF(Сортировка!$C$2="По убыванию",-A3,A3),1E+300)</f>
        <v>50797000</v>
      </c>
      <c r="C3">
        <f>COUNTIF($B$1:$B$9,"&lt;"&amp;B3)+COUNTIF($B$1:B3,B3)</f>
        <v>3</v>
      </c>
      <c r="D3" t="inlineStr">
        <is>
          <t>Площадь, м²</t>
        </is>
      </c>
    </row>
    <row r="4">
      <c r="A4">
        <f>INDEX(Реестр!$A$2:$AI$10,4,MATCH(Сортировка!$C$1,Реестр!$A$1:$AI$1,0))</f>
        <v>112951260</v>
      </c>
      <c r="B4">
        <f>IF(ISNUMBER(A4),IF(Сортировка!$C$2="По убыванию",-A4,A4),1E+300)</f>
        <v>112951260</v>
      </c>
      <c r="C4">
        <f>COUNTIF($B$1:$B$9,"&lt;"&amp;B4)+COUNTIF($B$1:B4,B4)</f>
        <v>4</v>
      </c>
      <c r="D4" t="inlineStr">
        <is>
          <t>Задаток, ₽</t>
        </is>
      </c>
    </row>
    <row r="5">
      <c r="A5">
        <f>INDEX(Реестр!$A$2:$AI$10,5,MATCH(Сортировка!$C$1,Реестр!$A$1:$AI$1,0))</f>
        <v>158898000</v>
      </c>
      <c r="B5">
        <f>IF(ISNUMBER(A5),IF(Сортировка!$C$2="По убыванию",-A5,A5),1E+300)</f>
        <v>158898000</v>
      </c>
      <c r="C5">
        <f>COUNTIF($B$1:$B$9,"&lt;"&amp;B5)+COUNTIF($B$1:B5,B5)</f>
        <v>5</v>
      </c>
      <c r="D5" t="inlineStr">
        <is>
          <t>Шаг аукциона, ₽</t>
        </is>
      </c>
    </row>
    <row r="6">
      <c r="A6">
        <f>INDEX(Реестр!$A$2:$AI$10,6,MATCH(Сортировка!$C$1,Реестр!$A$1:$AI$1,0))</f>
        <v>195014000</v>
      </c>
      <c r="B6">
        <f>IF(ISNUMBER(A6),IF(Сортировка!$C$2="По убыванию",-A6,A6),1E+300)</f>
        <v>195014000</v>
      </c>
      <c r="C6">
        <f>COUNTIF($B$1:$B$9,"&lt;"&amp;B6)+COUNTIF($B$1:B6,B6)</f>
        <v>6</v>
      </c>
      <c r="D6" t="inlineStr">
        <is>
          <t>Приём заявок до</t>
        </is>
      </c>
    </row>
    <row r="7">
      <c r="A7">
        <f>INDEX(Реестр!$A$2:$AI$10,7,MATCH(Сортировка!$C$1,Реестр!$A$1:$AI$1,0))</f>
        <v>239527000</v>
      </c>
      <c r="B7">
        <f>IF(ISNUMBER(A7),IF(Сортировка!$C$2="По убыванию",-A7,A7),1E+300)</f>
        <v>239527000</v>
      </c>
      <c r="C7">
        <f>COUNTIF($B$1:$B$9,"&lt;"&amp;B7)+COUNTIF($B$1:B7,B7)</f>
        <v>7</v>
      </c>
      <c r="D7" t="inlineStr">
        <is>
          <t>Дата торгов</t>
        </is>
      </c>
    </row>
    <row r="8">
      <c r="A8">
        <f>INDEX(Реестр!$A$2:$AI$10,8,MATCH(Сортировка!$C$1,Реестр!$A$1:$AI$1,0))</f>
        <v>263000000</v>
      </c>
      <c r="B8">
        <f>IF(ISNUMBER(A8),IF(Сортировка!$C$2="По убыванию",-A8,A8),1E+300)</f>
        <v>263000000</v>
      </c>
      <c r="C8">
        <f>COUNTIF($B$1:$B$9,"&lt;"&amp;B8)+COUNTIF($B$1:B8,B8)</f>
        <v>8</v>
      </c>
      <c r="D8" t="inlineStr">
        <is>
          <t>Дней до конца приёма</t>
        </is>
      </c>
    </row>
    <row r="9">
      <c r="A9">
        <f>INDEX(Реестр!$A$2:$AI$10,9,MATCH(Сортировка!$C$1,Реестр!$A$1:$AI$1,0))</f>
        <v>289558721</v>
      </c>
      <c r="B9">
        <f>IF(ISNUMBER(A9),IF(Сортировка!$C$2="По убыванию",-A9,A9),1E+300)</f>
        <v>289558721</v>
      </c>
      <c r="C9">
        <f>COUNTIF($B$1:$B$9,"&lt;"&amp;B9)+COUNTIF($B$1:B9,B9)</f>
        <v>9</v>
      </c>
      <c r="D9" t="inlineStr">
        <is>
          <t>До метро, мин</t>
        </is>
      </c>
    </row>
    <row r="10">
      <c r="D10" t="inlineStr">
        <is>
          <t>Участок, м²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str">
        <f>INDEX(Реестр!$AH$2:$AH$10,1)</f>
        <v>20198280</v>
      </c>
      <c r="C1" t="str">
        <f>IFERROR(VLOOKUP(B1,$Y$1:$Z$9,2,0),B1)</f>
        <v>М. Златоустинский, 8</v>
      </c>
      <c r="D1">
        <f>INDEX(Реестр!$T$2:$T$10,1)/1000</f>
        <v>363.687943262411</v>
      </c>
      <c r="E1">
        <f>INDEX(Реестр!$S$2:$S$10,1)/1000000</f>
        <v>15.384</v>
      </c>
      <c r="F1">
        <f>INDEX(Реестр!$X$2:$X$10,1)</f>
        <v>46279.833333333336</v>
      </c>
      <c r="G1">
        <f>INDEX(Реестр!$Y$2:$Y$10,1)</f>
        <v>46335.625</v>
      </c>
      <c r="H1">
        <f>INDEX(Реестр!$AB$2:$AB$10,1)</f>
        <v>46344.416666666664</v>
      </c>
      <c r="J1">
        <f>COUNTIF($D$1:$D$9,"&lt;"&amp;D1)+COUNTIF($D$1:D1,D1)</f>
        <v>7</v>
      </c>
      <c r="K1">
        <f>COUNTIF($E$1:$E$9,"&lt;"&amp;E1)+COUNTIF($E$1:E1,E1)</f>
        <v>1</v>
      </c>
      <c r="M1">
        <f>COUNTIF($H$1:$H$9,"&lt;"&amp;H1)+COUNTIF($H$1:H1,H1)</f>
        <v>4</v>
      </c>
      <c r="P1" t="inlineStr">
        <is>
          <t>Цена за м², тыс. ₽</t>
        </is>
      </c>
      <c r="R1" t="inlineStr">
        <is>
          <t>Начальная цена, млн ₽</t>
        </is>
      </c>
      <c r="V1" t="inlineStr">
        <is>
          <t>Старт</t>
        </is>
      </c>
      <c r="W1" t="inlineStr">
        <is>
          <t>Приём заявок</t>
        </is>
      </c>
      <c r="X1" t="inlineStr">
        <is>
          <t>От конца приёма до торгов</t>
        </is>
      </c>
      <c r="Y1" t="inlineStr">
        <is>
          <t>21000003370000000430</t>
        </is>
      </c>
      <c r="Z1" t="inlineStr">
        <is>
          <t>Краснопрудная, 3Б</t>
        </is>
      </c>
    </row>
    <row r="2">
      <c r="A2" t="n">
        <v>2</v>
      </c>
      <c r="B2" t="str">
        <f>INDEX(Реестр!$AH$2:$AH$10,2)</f>
        <v>20202772</v>
      </c>
      <c r="C2" t="str">
        <f>IFERROR(VLOOKUP(B2,$Y$1:$Z$9,2,0),B2)</f>
        <v>Б. Никитская, 21/18</v>
      </c>
      <c r="D2">
        <f>INDEX(Реестр!$T$2:$T$10,2)/1000</f>
        <v>1314.88549618321</v>
      </c>
      <c r="E2">
        <f>INDEX(Реестр!$S$2:$S$10,2)/1000000</f>
        <v>17.225</v>
      </c>
      <c r="F2">
        <f>INDEX(Реестр!$X$2:$X$10,2)</f>
        <v>46289.833333333336</v>
      </c>
      <c r="G2">
        <f>INDEX(Реестр!$Y$2:$Y$10,2)</f>
        <v>46337.625</v>
      </c>
      <c r="H2">
        <f>INDEX(Реестр!$AB$2:$AB$10,2)</f>
        <v>46346.416666666664</v>
      </c>
      <c r="J2">
        <f>COUNTIF($D$1:$D$9,"&lt;"&amp;D2)+COUNTIF($D$1:D2,D2)</f>
        <v>9</v>
      </c>
      <c r="K2">
        <f>COUNTIF($E$1:$E$9,"&lt;"&amp;E2)+COUNTIF($E$1:E2,E2)</f>
        <v>2</v>
      </c>
      <c r="M2">
        <f>COUNTIF($H$1:$H$9,"&lt;"&amp;H2)+COUNTIF($H$1:H2,H2)</f>
        <v>5</v>
      </c>
      <c r="O2" t="str">
        <f>INDEX($C$1:$C$9,MATCH(1,$J$1:$J$9,0))</f>
        <v>Каширское ш., 88/26</v>
      </c>
      <c r="P2" s="73">
        <f>INDEX($D$1:$D$9,MATCH(1,$J$1:$J$9,0))</f>
        <v>176.887454079929</v>
      </c>
      <c r="Q2" t="str">
        <f>INDEX($C$1:$C$9,MATCH(1,$K$1:$K$9,0))</f>
        <v>М. Златоустинский, 8</v>
      </c>
      <c r="R2" s="74">
        <f>INDEX($E$1:$E$9,MATCH(1,$K$1:$K$9,0))</f>
        <v>15.384</v>
      </c>
      <c r="U2" t="str">
        <f>INDEX($C$1:$C$9,MATCH(9,$M$1:$M$9,0))</f>
        <v>Б. Сухаревская пл., 1/2</v>
      </c>
      <c r="V2" s="75">
        <f>INDEX($F$1:$F$9,MATCH(9,$M$1:$M$9,0))</f>
        <v>46308.5833333333</v>
      </c>
      <c r="W2" s="75">
        <f>INDEX($G$1:$G$9,MATCH(9,$M$1:$M$9,0))-V2</f>
        <v>61</v>
      </c>
      <c r="X2" s="75">
        <f>INDEX($H$1:$H$9,MATCH(9,$M$1:$M$9,0))-INDEX($G$1:$G$9,MATCH(9,$M$1:$M$9,0))</f>
        <v>3.875</v>
      </c>
      <c r="Y2" t="inlineStr">
        <is>
          <t>COM13102600087</t>
        </is>
      </c>
      <c r="Z2" t="inlineStr">
        <is>
          <t>Б. Сухаревская пл., 1/2</t>
        </is>
      </c>
    </row>
    <row r="3">
      <c r="A3" t="n">
        <v>3</v>
      </c>
      <c r="B3" t="str">
        <f>INDEX(Реестр!$AH$2:$AH$10,3)</f>
        <v>20208821</v>
      </c>
      <c r="C3" t="str">
        <f>IFERROR(VLOOKUP(B3,$Y$1:$Z$9,2,0),B3)</f>
        <v>Бахрушина, 1</v>
      </c>
      <c r="D3">
        <f>INDEX(Реестр!$T$2:$T$10,3)/1000</f>
        <v>303.991621783363</v>
      </c>
      <c r="E3">
        <f>INDEX(Реестр!$S$2:$S$10,3)/1000000</f>
        <v>50.797</v>
      </c>
      <c r="F3">
        <f>INDEX(Реестр!$X$2:$X$10,3)</f>
        <v>46301.833333333336</v>
      </c>
      <c r="G3">
        <f>INDEX(Реестр!$Y$2:$Y$10,3)</f>
        <v>46335.625</v>
      </c>
      <c r="H3">
        <f>INDEX(Реестр!$AB$2:$AB$10,3)</f>
        <v>46343.416666666664</v>
      </c>
      <c r="J3">
        <f>COUNTIF($D$1:$D$9,"&lt;"&amp;D3)+COUNTIF($D$1:D3,D3)</f>
        <v>4</v>
      </c>
      <c r="K3">
        <f>COUNTIF($E$1:$E$9,"&lt;"&amp;E3)+COUNTIF($E$1:E3,E3)</f>
        <v>3</v>
      </c>
      <c r="M3">
        <f>COUNTIF($H$1:$H$9,"&lt;"&amp;H3)+COUNTIF($H$1:H3,H3)</f>
        <v>1</v>
      </c>
      <c r="O3" t="str">
        <f>INDEX($C$1:$C$9,MATCH(2,$J$1:$J$9,0))</f>
        <v>Краснопрудная, 3Б</v>
      </c>
      <c r="P3" s="73">
        <f>INDEX($D$1:$D$9,MATCH(2,$J$1:$J$9,0))</f>
        <v>229.936251091876</v>
      </c>
      <c r="Q3" t="str">
        <f>INDEX($C$1:$C$9,MATCH(2,$K$1:$K$9,0))</f>
        <v>Б. Никитская, 21/18</v>
      </c>
      <c r="R3" s="74">
        <f>INDEX($E$1:$E$9,MATCH(2,$K$1:$K$9,0))</f>
        <v>17.225</v>
      </c>
      <c r="U3" t="str">
        <f>INDEX($C$1:$C$9,MATCH(8,$M$1:$M$9,0))</f>
        <v>Краснопрудная, 3Б</v>
      </c>
      <c r="V3" s="75">
        <f>INDEX($F$1:$F$9,MATCH(8,$M$1:$M$9,0))</f>
        <v>46311.8333333333</v>
      </c>
      <c r="W3" s="75">
        <f>INDEX($G$1:$G$9,MATCH(8,$M$1:$M$9,0))-V3</f>
        <v>40.1659722222103</v>
      </c>
      <c r="X3" s="75">
        <f>INDEX($H$1:$H$9,MATCH(8,$M$1:$M$9,0))-INDEX($G$1:$G$9,MATCH(8,$M$1:$M$9,0))</f>
        <v>4.45902777778935</v>
      </c>
      <c r="Y3" t="inlineStr">
        <is>
          <t>20198280</t>
        </is>
      </c>
      <c r="Z3" t="inlineStr">
        <is>
          <t>М. Златоустинский, 8</t>
        </is>
      </c>
    </row>
    <row r="4">
      <c r="A4" t="n">
        <v>4</v>
      </c>
      <c r="B4" t="str">
        <f>INDEX(Реестр!$AH$2:$AH$10,4)</f>
        <v>COM13102600087</v>
      </c>
      <c r="C4" t="str">
        <f>IFERROR(VLOOKUP(B4,$Y$1:$Z$9,2,0),B4)</f>
        <v>Б. Сухаревская пл., 1/2</v>
      </c>
      <c r="D4">
        <f>INDEX(Реестр!$T$2:$T$10,4)/1000</f>
        <v>358.007163232964</v>
      </c>
      <c r="E4">
        <f>INDEX(Реестр!$S$2:$S$10,4)/1000000</f>
        <v>112.95126</v>
      </c>
      <c r="F4">
        <f>INDEX(Реестр!$X$2:$X$10,4)</f>
        <v>46308.583333333336</v>
      </c>
      <c r="G4">
        <f>INDEX(Реестр!$Y$2:$Y$10,4)</f>
        <v>46369.583333333336</v>
      </c>
      <c r="H4">
        <f>INDEX(Реестр!$AB$2:$AB$10,4)</f>
        <v>46373.458333333336</v>
      </c>
      <c r="J4">
        <f>COUNTIF($D$1:$D$9,"&lt;"&amp;D4)+COUNTIF($D$1:D4,D4)</f>
        <v>6</v>
      </c>
      <c r="K4">
        <f>COUNTIF($E$1:$E$9,"&lt;"&amp;E4)+COUNTIF($E$1:E4,E4)</f>
        <v>4</v>
      </c>
      <c r="M4">
        <f>COUNTIF($H$1:$H$9,"&lt;"&amp;H4)+COUNTIF($H$1:H4,H4)</f>
        <v>9</v>
      </c>
      <c r="O4" t="str">
        <f>INDEX($C$1:$C$9,MATCH(3,$J$1:$J$9,0))</f>
        <v>Пятницкая, 15</v>
      </c>
      <c r="P4" s="73">
        <f>INDEX($D$1:$D$9,MATCH(3,$J$1:$J$9,0))</f>
        <v>255.315017959421</v>
      </c>
      <c r="Q4" t="str">
        <f>INDEX($C$1:$C$9,MATCH(3,$K$1:$K$9,0))</f>
        <v>Бахрушина, 1</v>
      </c>
      <c r="R4" s="74">
        <f>INDEX($E$1:$E$9,MATCH(3,$K$1:$K$9,0))</f>
        <v>50.797</v>
      </c>
      <c r="U4" t="str">
        <f>INDEX($C$1:$C$9,MATCH(7,$M$1:$M$9,0))</f>
        <v>Покровка, 19</v>
      </c>
      <c r="V4" s="75">
        <f>INDEX($F$1:$F$9,MATCH(7,$M$1:$M$9,0))</f>
        <v>46308.8333333333</v>
      </c>
      <c r="W4" s="75">
        <f>INDEX($G$1:$G$9,MATCH(7,$M$1:$M$9,0))-V4</f>
        <v>33.7916666666667</v>
      </c>
      <c r="X4" s="75">
        <f>INDEX($H$1:$H$9,MATCH(7,$M$1:$M$9,0))-INDEX($G$1:$G$9,MATCH(7,$M$1:$M$9,0))</f>
        <v>7.79166666666667</v>
      </c>
      <c r="Y4" t="inlineStr">
        <is>
          <t>20212872</t>
        </is>
      </c>
      <c r="Z4" t="inlineStr">
        <is>
          <t>Покровка, 19</t>
        </is>
      </c>
    </row>
    <row r="5">
      <c r="A5" t="n">
        <v>5</v>
      </c>
      <c r="B5" t="str">
        <f>INDEX(Реестр!$AH$2:$AH$10,5)</f>
        <v>20208859</v>
      </c>
      <c r="C5" t="str">
        <f>IFERROR(VLOOKUP(B5,$Y$1:$Z$9,2,0),B5)</f>
        <v>Каширское ш., 88/26</v>
      </c>
      <c r="D5">
        <f>INDEX(Реестр!$T$2:$T$10,5)/1000</f>
        <v>176.887454079929</v>
      </c>
      <c r="E5">
        <f>INDEX(Реестр!$S$2:$S$10,5)/1000000</f>
        <v>158.898</v>
      </c>
      <c r="F5">
        <f>INDEX(Реестр!$X$2:$X$10,5)</f>
        <v>46302.833333333336</v>
      </c>
      <c r="G5">
        <f>INDEX(Реестр!$Y$2:$Y$10,5)</f>
        <v>46335.625</v>
      </c>
      <c r="H5">
        <f>INDEX(Реестр!$AB$2:$AB$10,5)</f>
        <v>46343.416666666664</v>
      </c>
      <c r="J5">
        <f>COUNTIF($D$1:$D$9,"&lt;"&amp;D5)+COUNTIF($D$1:D5,D5)</f>
        <v>1</v>
      </c>
      <c r="K5">
        <f>COUNTIF($E$1:$E$9,"&lt;"&amp;E5)+COUNTIF($E$1:E5,E5)</f>
        <v>5</v>
      </c>
      <c r="M5">
        <f>COUNTIF($H$1:$H$9,"&lt;"&amp;H5)+COUNTIF($H$1:H5,H5)</f>
        <v>2</v>
      </c>
      <c r="O5" t="str">
        <f>INDEX($C$1:$C$9,MATCH(4,$J$1:$J$9,0))</f>
        <v>Бахрушина, 1</v>
      </c>
      <c r="P5" s="73">
        <f>INDEX($D$1:$D$9,MATCH(4,$J$1:$J$9,0))</f>
        <v>303.991621783363</v>
      </c>
      <c r="Q5" t="str">
        <f>INDEX($C$1:$C$9,MATCH(4,$K$1:$K$9,0))</f>
        <v>Б. Сухаревская пл., 1/2</v>
      </c>
      <c r="R5" s="74">
        <f>INDEX($E$1:$E$9,MATCH(4,$K$1:$K$9,0))</f>
        <v>112.95126</v>
      </c>
      <c r="U5" t="str">
        <f>INDEX($C$1:$C$9,MATCH(6,$M$1:$M$9,0))</f>
        <v>Пятницкая, 15</v>
      </c>
      <c r="V5" s="75">
        <f>INDEX($F$1:$F$9,MATCH(6,$M$1:$M$9,0))</f>
        <v>46282.8333333333</v>
      </c>
      <c r="W5" s="75">
        <f>INDEX($G$1:$G$9,MATCH(6,$M$1:$M$9,0))-V5</f>
        <v>56.7916666666667</v>
      </c>
      <c r="X5" s="75">
        <f>INDEX($H$1:$H$9,MATCH(6,$M$1:$M$9,0))-INDEX($G$1:$G$9,MATCH(6,$M$1:$M$9,0))</f>
        <v>6.79166666666667</v>
      </c>
      <c r="Y5" t="inlineStr">
        <is>
          <t>20182722</t>
        </is>
      </c>
      <c r="Z5" t="inlineStr">
        <is>
          <t>Пятницкая, 15</t>
        </is>
      </c>
    </row>
    <row r="6">
      <c r="A6" t="n">
        <v>6</v>
      </c>
      <c r="B6" t="str">
        <f>INDEX(Реестр!$AH$2:$AH$10,6)</f>
        <v>20209390</v>
      </c>
      <c r="C6" t="str">
        <f>IFERROR(VLOOKUP(B6,$Y$1:$Z$9,2,0),B6)</f>
        <v>Неглинная, 18/1</v>
      </c>
      <c r="D6">
        <f>INDEX(Реестр!$T$2:$T$10,6)/1000</f>
        <v>307.399117276166</v>
      </c>
      <c r="E6">
        <f>INDEX(Реестр!$S$2:$S$10,6)/1000000</f>
        <v>195.014</v>
      </c>
      <c r="F6">
        <f>INDEX(Реестр!$X$2:$X$10,6)</f>
        <v>46302.833333333336</v>
      </c>
      <c r="G6">
        <f>INDEX(Реестр!$Y$2:$Y$10,6)</f>
        <v>46335.625</v>
      </c>
      <c r="H6">
        <f>INDEX(Реестр!$AB$2:$AB$10,6)</f>
        <v>46343.416666666664</v>
      </c>
      <c r="J6">
        <f>COUNTIF($D$1:$D$9,"&lt;"&amp;D6)+COUNTIF($D$1:D6,D6)</f>
        <v>5</v>
      </c>
      <c r="K6">
        <f>COUNTIF($E$1:$E$9,"&lt;"&amp;E6)+COUNTIF($E$1:E6,E6)</f>
        <v>6</v>
      </c>
      <c r="M6">
        <f>COUNTIF($H$1:$H$9,"&lt;"&amp;H6)+COUNTIF($H$1:H6,H6)</f>
        <v>3</v>
      </c>
      <c r="O6" t="str">
        <f>INDEX($C$1:$C$9,MATCH(5,$J$1:$J$9,0))</f>
        <v>Неглинная, 18/1</v>
      </c>
      <c r="P6" s="73">
        <f>INDEX($D$1:$D$9,MATCH(5,$J$1:$J$9,0))</f>
        <v>307.399117276166</v>
      </c>
      <c r="Q6" t="str">
        <f>INDEX($C$1:$C$9,MATCH(5,$K$1:$K$9,0))</f>
        <v>Каширское ш., 88/26</v>
      </c>
      <c r="R6" s="74">
        <f>INDEX($E$1:$E$9,MATCH(5,$K$1:$K$9,0))</f>
        <v>158.898</v>
      </c>
      <c r="U6" t="str">
        <f>INDEX($C$1:$C$9,MATCH(5,$M$1:$M$9,0))</f>
        <v>Б. Никитская, 21/18</v>
      </c>
      <c r="V6" s="75">
        <f>INDEX($F$1:$F$9,MATCH(5,$M$1:$M$9,0))</f>
        <v>46289.8333333333</v>
      </c>
      <c r="W6" s="75">
        <f>INDEX($G$1:$G$9,MATCH(5,$M$1:$M$9,0))-V6</f>
        <v>47.7916666666667</v>
      </c>
      <c r="X6" s="75">
        <f>INDEX($H$1:$H$9,MATCH(5,$M$1:$M$9,0))-INDEX($G$1:$G$9,MATCH(5,$M$1:$M$9,0))</f>
        <v>8.79166666666667</v>
      </c>
      <c r="Y6" t="inlineStr">
        <is>
          <t>20202772</t>
        </is>
      </c>
      <c r="Z6" t="inlineStr">
        <is>
          <t>Б. Никитская, 21/18</t>
        </is>
      </c>
    </row>
    <row r="7">
      <c r="A7" t="n">
        <v>7</v>
      </c>
      <c r="B7" t="str">
        <f>INDEX(Реестр!$AH$2:$AH$10,7)</f>
        <v>20212872</v>
      </c>
      <c r="C7" t="str">
        <f>IFERROR(VLOOKUP(B7,$Y$1:$Z$9,2,0),B7)</f>
        <v>Покровка, 19</v>
      </c>
      <c r="D7">
        <f>INDEX(Реестр!$T$2:$T$10,7)/1000</f>
        <v>555.489332096475</v>
      </c>
      <c r="E7">
        <f>INDEX(Реестр!$S$2:$S$10,7)/1000000</f>
        <v>239.527</v>
      </c>
      <c r="F7">
        <f>INDEX(Реестр!$X$2:$X$10,7)</f>
        <v>46308.833333333336</v>
      </c>
      <c r="G7">
        <f>INDEX(Реестр!$Y$2:$Y$10,7)</f>
        <v>46342.625</v>
      </c>
      <c r="H7">
        <f>INDEX(Реестр!$AB$2:$AB$10,7)</f>
        <v>46350.416666666664</v>
      </c>
      <c r="J7">
        <f>COUNTIF($D$1:$D$9,"&lt;"&amp;D7)+COUNTIF($D$1:D7,D7)</f>
        <v>8</v>
      </c>
      <c r="K7">
        <f>COUNTIF($E$1:$E$9,"&lt;"&amp;E7)+COUNTIF($E$1:E7,E7)</f>
        <v>7</v>
      </c>
      <c r="M7">
        <f>COUNTIF($H$1:$H$9,"&lt;"&amp;H7)+COUNTIF($H$1:H7,H7)</f>
        <v>7</v>
      </c>
      <c r="O7" t="str">
        <f>INDEX($C$1:$C$9,MATCH(6,$J$1:$J$9,0))</f>
        <v>Б. Сухаревская пл., 1/2</v>
      </c>
      <c r="P7" s="73">
        <f>INDEX($D$1:$D$9,MATCH(6,$J$1:$J$9,0))</f>
        <v>358.007163232964</v>
      </c>
      <c r="Q7" t="str">
        <f>INDEX($C$1:$C$9,MATCH(6,$K$1:$K$9,0))</f>
        <v>Неглинная, 18/1</v>
      </c>
      <c r="R7" s="74">
        <f>INDEX($E$1:$E$9,MATCH(6,$K$1:$K$9,0))</f>
        <v>195.014</v>
      </c>
      <c r="U7" t="str">
        <f>INDEX($C$1:$C$9,MATCH(4,$M$1:$M$9,0))</f>
        <v>М. Златоустинский, 8</v>
      </c>
      <c r="V7" s="75">
        <f>INDEX($F$1:$F$9,MATCH(4,$M$1:$M$9,0))</f>
        <v>46279.8333333333</v>
      </c>
      <c r="W7" s="75">
        <f>INDEX($G$1:$G$9,MATCH(4,$M$1:$M$9,0))-V7</f>
        <v>55.7916666666667</v>
      </c>
      <c r="X7" s="75">
        <f>INDEX($H$1:$H$9,MATCH(4,$M$1:$M$9,0))-INDEX($G$1:$G$9,MATCH(4,$M$1:$M$9,0))</f>
        <v>8.79166666666667</v>
      </c>
      <c r="Y7" t="inlineStr">
        <is>
          <t>20208821</t>
        </is>
      </c>
      <c r="Z7" t="inlineStr">
        <is>
          <t>Бахрушина, 1</t>
        </is>
      </c>
    </row>
    <row r="8">
      <c r="A8" t="n">
        <v>8</v>
      </c>
      <c r="B8" t="str">
        <f>INDEX(Реестр!$AH$2:$AH$10,8)</f>
        <v>20182722</v>
      </c>
      <c r="C8" t="str">
        <f>IFERROR(VLOOKUP(B8,$Y$1:$Z$9,2,0),B8)</f>
        <v>Пятницкая, 15</v>
      </c>
      <c r="D8">
        <f>INDEX(Реестр!$T$2:$T$10,8)/1000</f>
        <v>255.315017959421</v>
      </c>
      <c r="E8">
        <f>INDEX(Реестр!$S$2:$S$10,8)/1000000</f>
        <v>263</v>
      </c>
      <c r="F8">
        <f>INDEX(Реестр!$X$2:$X$10,8)</f>
        <v>46282.833333333336</v>
      </c>
      <c r="G8">
        <f>INDEX(Реестр!$Y$2:$Y$10,8)</f>
        <v>46339.625</v>
      </c>
      <c r="H8">
        <f>INDEX(Реестр!$AB$2:$AB$10,8)</f>
        <v>46346.416666666664</v>
      </c>
      <c r="J8">
        <f>COUNTIF($D$1:$D$9,"&lt;"&amp;D8)+COUNTIF($D$1:D8,D8)</f>
        <v>3</v>
      </c>
      <c r="K8">
        <f>COUNTIF($E$1:$E$9,"&lt;"&amp;E8)+COUNTIF($E$1:E8,E8)</f>
        <v>8</v>
      </c>
      <c r="M8">
        <f>COUNTIF($H$1:$H$9,"&lt;"&amp;H8)+COUNTIF($H$1:H8,H8)</f>
        <v>6</v>
      </c>
      <c r="O8" t="str">
        <f>INDEX($C$1:$C$9,MATCH(7,$J$1:$J$9,0))</f>
        <v>М. Златоустинский, 8</v>
      </c>
      <c r="P8" s="73">
        <f>INDEX($D$1:$D$9,MATCH(7,$J$1:$J$9,0))</f>
        <v>363.687943262411</v>
      </c>
      <c r="Q8" t="str">
        <f>INDEX($C$1:$C$9,MATCH(7,$K$1:$K$9,0))</f>
        <v>Покровка, 19</v>
      </c>
      <c r="R8" s="74">
        <f>INDEX($E$1:$E$9,MATCH(7,$K$1:$K$9,0))</f>
        <v>239.527</v>
      </c>
      <c r="U8" t="str">
        <f>INDEX($C$1:$C$9,MATCH(3,$M$1:$M$9,0))</f>
        <v>Неглинная, 18/1</v>
      </c>
      <c r="V8" s="75">
        <f>INDEX($F$1:$F$9,MATCH(3,$M$1:$M$9,0))</f>
        <v>46302.8333333333</v>
      </c>
      <c r="W8" s="75">
        <f>INDEX($G$1:$G$9,MATCH(3,$M$1:$M$9,0))-V8</f>
        <v>32.7916666666667</v>
      </c>
      <c r="X8" s="75">
        <f>INDEX($H$1:$H$9,MATCH(3,$M$1:$M$9,0))-INDEX($G$1:$G$9,MATCH(3,$M$1:$M$9,0))</f>
        <v>7.79166666666667</v>
      </c>
      <c r="Y8" t="inlineStr">
        <is>
          <t>20209390</t>
        </is>
      </c>
      <c r="Z8" t="inlineStr">
        <is>
          <t>Неглинная, 18/1</t>
        </is>
      </c>
    </row>
    <row r="9">
      <c r="A9" t="n">
        <v>9</v>
      </c>
      <c r="B9" t="str">
        <f>INDEX(Реестр!$AH$2:$AH$10,9)</f>
        <v>21000003370000000430</v>
      </c>
      <c r="C9" t="str">
        <f>IFERROR(VLOOKUP(B9,$Y$1:$Z$9,2,0),B9)</f>
        <v>Краснопрудная, 3Б</v>
      </c>
      <c r="D9">
        <f>INDEX(Реестр!$T$2:$T$10,9)/1000</f>
        <v>229.936251091876</v>
      </c>
      <c r="E9">
        <f>INDEX(Реестр!$S$2:$S$10,9)/1000000</f>
        <v>289.558721</v>
      </c>
      <c r="F9">
        <f>INDEX(Реестр!$X$2:$X$10,9)</f>
        <v>46311.833333333336</v>
      </c>
      <c r="G9">
        <f>INDEX(Реестр!$Y$2:$Y$10,9)</f>
        <v>46351.99930555555</v>
      </c>
      <c r="H9">
        <f>INDEX(Реестр!$AB$2:$AB$10,9)</f>
        <v>46356.458333333336</v>
      </c>
      <c r="J9">
        <f>COUNTIF($D$1:$D$9,"&lt;"&amp;D9)+COUNTIF($D$1:D9,D9)</f>
        <v>2</v>
      </c>
      <c r="K9">
        <f>COUNTIF($E$1:$E$9,"&lt;"&amp;E9)+COUNTIF($E$1:E9,E9)</f>
        <v>9</v>
      </c>
      <c r="M9">
        <f>COUNTIF($H$1:$H$9,"&lt;"&amp;H9)+COUNTIF($H$1:H9,H9)</f>
        <v>8</v>
      </c>
      <c r="O9" t="str">
        <f>INDEX($C$1:$C$9,MATCH(8,$J$1:$J$9,0))</f>
        <v>Покровка, 19</v>
      </c>
      <c r="P9" s="73">
        <f>INDEX($D$1:$D$9,MATCH(8,$J$1:$J$9,0))</f>
        <v>555.489332096475</v>
      </c>
      <c r="Q9" t="str">
        <f>INDEX($C$1:$C$9,MATCH(8,$K$1:$K$9,0))</f>
        <v>Пятницкая, 15</v>
      </c>
      <c r="R9" s="74">
        <f>INDEX($E$1:$E$9,MATCH(8,$K$1:$K$9,0))</f>
        <v>263</v>
      </c>
      <c r="U9" t="str">
        <f>INDEX($C$1:$C$9,MATCH(2,$M$1:$M$9,0))</f>
        <v>Каширское ш., 88/26</v>
      </c>
      <c r="V9" s="75">
        <f>INDEX($F$1:$F$9,MATCH(2,$M$1:$M$9,0))</f>
        <v>46302.8333333333</v>
      </c>
      <c r="W9" s="75">
        <f>INDEX($G$1:$G$9,MATCH(2,$M$1:$M$9,0))-V9</f>
        <v>32.7916666666667</v>
      </c>
      <c r="X9" s="75">
        <f>INDEX($H$1:$H$9,MATCH(2,$M$1:$M$9,0))-INDEX($G$1:$G$9,MATCH(2,$M$1:$M$9,0))</f>
        <v>7.79166666666667</v>
      </c>
      <c r="Y9" t="inlineStr">
        <is>
          <t>20208859</t>
        </is>
      </c>
      <c r="Z9" t="inlineStr">
        <is>
          <t>Каширское ш., 88/26</t>
        </is>
      </c>
    </row>
    <row r="10">
      <c r="O10" t="str">
        <f>INDEX($C$1:$C$9,MATCH(9,$J$1:$J$9,0))</f>
        <v>Б. Никитская, 21/18</v>
      </c>
      <c r="P10" s="73">
        <f>INDEX($D$1:$D$9,MATCH(9,$J$1:$J$9,0))</f>
        <v>1314.88549618321</v>
      </c>
      <c r="Q10" t="str">
        <f>INDEX($C$1:$C$9,MATCH(9,$K$1:$K$9,0))</f>
        <v>Краснопрудная, 3Б</v>
      </c>
      <c r="R10" s="74">
        <f>INDEX($E$1:$E$9,MATCH(9,$K$1:$K$9,0))</f>
        <v>289.558721</v>
      </c>
      <c r="U10" t="str">
        <f>INDEX($C$1:$C$9,MATCH(1,$M$1:$M$9,0))</f>
        <v>Бахрушина, 1</v>
      </c>
      <c r="V10" s="75">
        <f>INDEX($F$1:$F$9,MATCH(1,$M$1:$M$9,0))</f>
        <v>46301.8333333333</v>
      </c>
      <c r="W10" s="75">
        <f>INDEX($G$1:$G$9,MATCH(1,$M$1:$M$9,0))-V10</f>
        <v>33.7916666666667</v>
      </c>
      <c r="X10" s="75">
        <f>INDEX($H$1:$H$9,MATCH(1,$M$1:$M$9,0))-INDEX($G$1:$G$9,MATCH(1,$M$1:$M$9,0))</f>
        <v>7.79166666666667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2026-10-20T13:51:49Z</dcterms:created>
  <dcterms:modified xmlns:dcterms="http://purl.org/dc/terms/" xmlns:xsi="http://www.w3.org/2001/XMLSchema-instance" xsi:type="dcterms:W3CDTF">2026-10-20T13:51:49Z</dcterms:modified>
</cp:coreProperties>
</file>