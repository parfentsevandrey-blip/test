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" sheetId="1" state="visible" r:id="rId3"/>
    <sheet name="Сортировка" sheetId="2" state="visible" r:id="rId4"/>
    <sheet name="_calc" sheetId="3" state="hidden" r:id="rId5"/>
  </sheets>
  <definedNames>
    <definedName function="false" hidden="false" localSheetId="0" name="_xlnm.Print_Titles" vbProcedure="false">Реестр!$1:$1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Площадь 315,5 м² взята из объявления Абсолют Банка на ЦИАН (та же цена — 112,95 млн ₽, с НДС 22%). На странице roseltorg площадь не указана — она есть только в аукционной документации (.doc).</t>
        </r>
      </text>
    </comment>
  </commentList>
</comments>
</file>

<file path=xl/sharedStrings.xml><?xml version="1.0" encoding="utf-8"?>
<sst xmlns="http://schemas.openxmlformats.org/spreadsheetml/2006/main" count="242" uniqueCount="115">
  <si>
    <t xml:space="preserve">№</t>
  </si>
  <si>
    <t xml:space="preserve">Тип объекта</t>
  </si>
  <si>
    <t xml:space="preserve">Адрес</t>
  </si>
  <si>
    <t xml:space="preserve">Округ</t>
  </si>
  <si>
    <t xml:space="preserve">Район</t>
  </si>
  <si>
    <t xml:space="preserve">Метро</t>
  </si>
  <si>
    <t xml:space="preserve">До метро, мин</t>
  </si>
  <si>
    <t xml:space="preserve">Площадь, м²</t>
  </si>
  <si>
    <t xml:space="preserve">Участок, м²</t>
  </si>
  <si>
    <t xml:space="preserve">Этаж</t>
  </si>
  <si>
    <t xml:space="preserve">Этажность</t>
  </si>
  <si>
    <t xml:space="preserve">ОКН</t>
  </si>
  <si>
    <t xml:space="preserve">Назначение</t>
  </si>
  <si>
    <t xml:space="preserve">Вход</t>
  </si>
  <si>
    <t xml:space="preserve">Арендатор</t>
  </si>
  <si>
    <t xml:space="preserve">Обременения</t>
  </si>
  <si>
    <t xml:space="preserve">Кадастровый № объекта</t>
  </si>
  <si>
    <t xml:space="preserve">Кадастровый № участка</t>
  </si>
  <si>
    <t xml:space="preserve">Начальная цена, ₽</t>
  </si>
  <si>
    <t xml:space="preserve">Цена за м², ₽</t>
  </si>
  <si>
    <t xml:space="preserve">Задаток, ₽</t>
  </si>
  <si>
    <t xml:space="preserve">Шаг аукциона, ₽</t>
  </si>
  <si>
    <t xml:space="preserve">Форма торгов</t>
  </si>
  <si>
    <t xml:space="preserve">Приём заявок с</t>
  </si>
  <si>
    <t xml:space="preserve">Приём заявок до</t>
  </si>
  <si>
    <t xml:space="preserve">Дней до конца приёма</t>
  </si>
  <si>
    <t xml:space="preserve">Отбор участников</t>
  </si>
  <si>
    <t xml:space="preserve">Дата торгов</t>
  </si>
  <si>
    <t xml:space="preserve">Подведение итогов</t>
  </si>
  <si>
    <t xml:space="preserve">Карточка</t>
  </si>
  <si>
    <t xml:space="preserve">Процедура на ЭТП</t>
  </si>
  <si>
    <t xml:space="preserve">torgi.gov.ru</t>
  </si>
  <si>
    <t xml:space="preserve">Площадка</t>
  </si>
  <si>
    <t xml:space="preserve">ID / № процедуры</t>
  </si>
  <si>
    <t xml:space="preserve">Примечание</t>
  </si>
  <si>
    <t xml:space="preserve">Нежилое помещение</t>
  </si>
  <si>
    <t xml:space="preserve">Малый Златоустинский пер., д. 8, стр. 1, этаж 1</t>
  </si>
  <si>
    <t xml:space="preserve">ЦАО</t>
  </si>
  <si>
    <t xml:space="preserve">Басманный</t>
  </si>
  <si>
    <t xml:space="preserve">Китай-город</t>
  </si>
  <si>
    <t xml:space="preserve">1</t>
  </si>
  <si>
    <t xml:space="preserve">Нет</t>
  </si>
  <si>
    <t xml:space="preserve">Свободное</t>
  </si>
  <si>
    <t xml:space="preserve">Через места общего пользования</t>
  </si>
  <si>
    <t xml:space="preserve">77:01:0001033:2521</t>
  </si>
  <si>
    <t xml:space="preserve">—</t>
  </si>
  <si>
    <t xml:space="preserve">Открытый аукцион в электронной форме</t>
  </si>
  <si>
    <t xml:space="preserve">открыть</t>
  </si>
  <si>
    <t xml:space="preserve">investmoscow.ru</t>
  </si>
  <si>
    <t xml:space="preserve">20198280</t>
  </si>
  <si>
    <t xml:space="preserve">Район указан по адресному справочнику (в карточке не указан).</t>
  </si>
  <si>
    <t xml:space="preserve">Большая Никитская ул., д. 21/18, стр. 1, этаж 1</t>
  </si>
  <si>
    <t xml:space="preserve">Пресненский</t>
  </si>
  <si>
    <t xml:space="preserve">Арбатская</t>
  </si>
  <si>
    <t xml:space="preserve">Да</t>
  </si>
  <si>
    <t xml:space="preserve">Через иную собственность</t>
  </si>
  <si>
    <t xml:space="preserve">77:01:0001045:2432</t>
  </si>
  <si>
    <t xml:space="preserve">20202772</t>
  </si>
  <si>
    <t xml:space="preserve">Объект культурного наследия.</t>
  </si>
  <si>
    <t xml:space="preserve">ул. Бахрушина, д. 1, стр. 1, этаж 1, помещение 5/1</t>
  </si>
  <si>
    <t xml:space="preserve">Замоскворечье</t>
  </si>
  <si>
    <t xml:space="preserve">Павелецкая</t>
  </si>
  <si>
    <t xml:space="preserve">Через подъезд</t>
  </si>
  <si>
    <t xml:space="preserve">77:01:0002012:3735</t>
  </si>
  <si>
    <t xml:space="preserve">20208821</t>
  </si>
  <si>
    <t xml:space="preserve">Большая Сухаревская пл., д. 1/2, стр. 1, помещ. 3/1</t>
  </si>
  <si>
    <t xml:space="preserve">Мещанский</t>
  </si>
  <si>
    <t xml:space="preserve">Сухаревская</t>
  </si>
  <si>
    <t xml:space="preserve">Подвал, 1 этаж, антресоль</t>
  </si>
  <si>
    <t xml:space="preserve">Аукцион на повышение (коммерческая процедура)</t>
  </si>
  <si>
    <t xml:space="preserve">roseltorg.ru (com)</t>
  </si>
  <si>
    <t xml:space="preserve">COM13102600087</t>
  </si>
  <si>
    <t xml:space="preserve">Продавец и организатор — АКБ «Абсолют Банк» (ПАО). Задаток — обеспечение заявки 10%. Шаг аукциона на странице не указан (он в аукционной документации). Цена с НДС 22%. Первая линия Садового кольца, 20 м от выхода метро.</t>
  </si>
  <si>
    <t xml:space="preserve">Здание + земельный участок</t>
  </si>
  <si>
    <t xml:space="preserve">Каширское ш., д. 88/26, стр. 2</t>
  </si>
  <si>
    <t xml:space="preserve">ЮАО</t>
  </si>
  <si>
    <t xml:space="preserve">Орехово-Борисово Северное</t>
  </si>
  <si>
    <t xml:space="preserve">Домодедовская</t>
  </si>
  <si>
    <t xml:space="preserve">77:05:0011002:1086</t>
  </si>
  <si>
    <t xml:space="preserve">77:05:0011002:93</t>
  </si>
  <si>
    <t xml:space="preserve">20208859</t>
  </si>
  <si>
    <t xml:space="preserve">Цена за м² считается по площади здания.</t>
  </si>
  <si>
    <t xml:space="preserve">Неглинная ул., д. 18/1, стр. 2</t>
  </si>
  <si>
    <t xml:space="preserve">Трубная</t>
  </si>
  <si>
    <t xml:space="preserve">77:01:0001080:1014</t>
  </si>
  <si>
    <t xml:space="preserve">77:01:0001080:2978</t>
  </si>
  <si>
    <t xml:space="preserve">20209390</t>
  </si>
  <si>
    <t xml:space="preserve">ул. Покровка, д. 19, этаж 1</t>
  </si>
  <si>
    <t xml:space="preserve">Чистые пруды</t>
  </si>
  <si>
    <t xml:space="preserve">Через подъезд, отдельный</t>
  </si>
  <si>
    <t xml:space="preserve">77:01:0001029:4191</t>
  </si>
  <si>
    <t xml:space="preserve">20212872</t>
  </si>
  <si>
    <t xml:space="preserve">Здание</t>
  </si>
  <si>
    <t xml:space="preserve">Пятницкая ул., д. 15</t>
  </si>
  <si>
    <t xml:space="preserve">Новокузнецкая</t>
  </si>
  <si>
    <t xml:space="preserve">77:01:0002018:1071</t>
  </si>
  <si>
    <t xml:space="preserve">20182722</t>
  </si>
  <si>
    <t xml:space="preserve">В вашем списке ссылка была дважды. Вид цены — «плата за право заключения договора купли-продажи». Процедура по 178-ФЗ, ссылки на torgi.gov.ru в карточке нет. Объект культурного наследия.</t>
  </si>
  <si>
    <t xml:space="preserve">Краснопрудная ул., д. 3Б (земельный участок 3/5/1), здание Ярославского ПЖДП</t>
  </si>
  <si>
    <t xml:space="preserve">Красносельский</t>
  </si>
  <si>
    <t xml:space="preserve">Красносельская</t>
  </si>
  <si>
    <t xml:space="preserve">Услуги связи (ВРИ участка 3.2.3)</t>
  </si>
  <si>
    <t xml:space="preserve">По выписке ЕГРН</t>
  </si>
  <si>
    <t xml:space="preserve">77:01:0003036:1085</t>
  </si>
  <si>
    <t xml:space="preserve">77:01:0003036:4449</t>
  </si>
  <si>
    <t xml:space="preserve">Электронный аукцион на повышение (178-ФЗ)</t>
  </si>
  <si>
    <t xml:space="preserve">roseltorg.ru</t>
  </si>
  <si>
    <t xml:space="preserve">21000003370000000430</t>
  </si>
  <si>
    <t xml:space="preserve">Продавец — АО «Почта России», организатор — АО ИФК «Солид». Продаётся единым лотом: здание 1 259,3 м² и участок 621 ± 9 м² (общая площадь 1 880,3 м²). Задаток 20%. Цена, задаток и шаг указаны в извещении torgi.gov.ru (данные взяты с зеркала torgi-ru.com, лот 8152317).</t>
  </si>
  <si>
    <t xml:space="preserve">Сортировать по</t>
  </si>
  <si>
    <t xml:space="preserve">Порядок</t>
  </si>
  <si>
    <t xml:space="preserve">По возрастанию</t>
  </si>
  <si>
    <t xml:space="preserve">Место</t>
  </si>
  <si>
    <t xml:space="preserve">Значение показателя</t>
  </si>
  <si>
    <t xml:space="preserve">По убыванию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</si>
</sst>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#,##0"/>
    <numFmt numFmtId="167" formatCode="#,##0.00"/>
    <numFmt numFmtId="168" formatCode="dd\.mm\.yyyy\ hh:mm"/>
    <numFmt numFmtId="169" formatCode="dd\.mm\.yyyy"/>
    <numFmt numFmtId="170" formatCode="#,##0.#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7F7F7F"/>
      <name val="Arial"/>
      <family val="0"/>
      <charset val="1"/>
    </font>
    <font>
      <u val="single"/>
      <sz val="10"/>
      <color rgb="FF00000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1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1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5" fontId="5" fillId="0" borderId="2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6" fontId="5" fillId="0" borderId="2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7" fontId="5" fillId="0" borderId="2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top" textRotation="0" wrapText="false" indent="1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7" fontId="6" fillId="0" borderId="2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top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top" textRotation="0" wrapText="false" indent="1" shrinkToFit="false"/>
      <protection locked="true" hidden="false"/>
    </xf>
    <xf numFmtId="170" fontId="4" fillId="0" borderId="2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estr" displayName="Reestr" ref="A1:AI10" headerRowCount="1" totalsRowCount="0" totalsRowShown="0">
  <autoFilter ref="A1:AI10"/>
  <tableColumns count="35">
    <tableColumn id="1" name="№"/>
    <tableColumn id="2" name="Тип объекта"/>
    <tableColumn id="3" name="Адрес"/>
    <tableColumn id="4" name="Округ"/>
    <tableColumn id="5" name="Район"/>
    <tableColumn id="6" name="Метро"/>
    <tableColumn id="7" name="До метро, мин"/>
    <tableColumn id="8" name="Площадь, м²"/>
    <tableColumn id="9" name="Участок, м²"/>
    <tableColumn id="10" name="Этаж"/>
    <tableColumn id="11" name="Этажность"/>
    <tableColumn id="12" name="ОКН"/>
    <tableColumn id="13" name="Назначение"/>
    <tableColumn id="14" name="Вход"/>
    <tableColumn id="15" name="Арендатор"/>
    <tableColumn id="16" name="Обременения"/>
    <tableColumn id="17" name="Кадастровый № объекта"/>
    <tableColumn id="18" name="Кадастровый № участка"/>
    <tableColumn id="19" name="Начальная цена, ₽"/>
    <tableColumn id="20" name="Цена за м², ₽"/>
    <tableColumn id="21" name="Задаток, ₽"/>
    <tableColumn id="22" name="Шаг аукциона, ₽"/>
    <tableColumn id="23" name="Форма торгов"/>
    <tableColumn id="24" name="Приём заявок с"/>
    <tableColumn id="25" name="Приём заявок до"/>
    <tableColumn id="26" name="Дней до конца приёма"/>
    <tableColumn id="27" name="Отбор участников"/>
    <tableColumn id="28" name="Дата торгов"/>
    <tableColumn id="29" name="Подведение итогов"/>
    <tableColumn id="30" name="Карточка"/>
    <tableColumn id="31" name="Процедура на ЭТП"/>
    <tableColumn id="32" name="torgi.gov.ru"/>
    <tableColumn id="33" name="Площадка"/>
    <tableColumn id="34" name="ID / № процедуры"/>
    <tableColumn id="35" name="Примечание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investmoscow.ru/tenders/tender/20198280" TargetMode="External"/><Relationship Id="rId3" Type="http://schemas.openxmlformats.org/officeDocument/2006/relationships/hyperlink" Target="https://www.roseltorg.ru/procedure/21000005000000033634/1" TargetMode="External"/><Relationship Id="rId4" Type="http://schemas.openxmlformats.org/officeDocument/2006/relationships/hyperlink" Target="https://torgi.gov.ru/new/public/notices/view/21000005000000033634" TargetMode="External"/><Relationship Id="rId5" Type="http://schemas.openxmlformats.org/officeDocument/2006/relationships/hyperlink" Target="https://investmoscow.ru/tenders/tender/20202772" TargetMode="External"/><Relationship Id="rId6" Type="http://schemas.openxmlformats.org/officeDocument/2006/relationships/hyperlink" Target="https://www.roseltorg.ru/procedure/21000005000000033929/1" TargetMode="External"/><Relationship Id="rId7" Type="http://schemas.openxmlformats.org/officeDocument/2006/relationships/hyperlink" Target="https://torgi.gov.ru/new/public/notices/view/21000005000000033929" TargetMode="External"/><Relationship Id="rId8" Type="http://schemas.openxmlformats.org/officeDocument/2006/relationships/hyperlink" Target="https://investmoscow.ru/tenders/tender/20208821" TargetMode="External"/><Relationship Id="rId9" Type="http://schemas.openxmlformats.org/officeDocument/2006/relationships/hyperlink" Target="https://www.roseltorg.ru/procedure/21000005000000034190/1" TargetMode="External"/><Relationship Id="rId10" Type="http://schemas.openxmlformats.org/officeDocument/2006/relationships/hyperlink" Target="https://torgi.gov.ru/new/public/notices/view/21000005000000034190" TargetMode="External"/><Relationship Id="rId11" Type="http://schemas.openxmlformats.org/officeDocument/2006/relationships/hyperlink" Target="https://www.roseltorg.ru/procedure/COM13102600087/1" TargetMode="External"/><Relationship Id="rId12" Type="http://schemas.openxmlformats.org/officeDocument/2006/relationships/hyperlink" Target="https://www.roseltorg.ru/procedure/COM13102600087/1" TargetMode="External"/><Relationship Id="rId13" Type="http://schemas.openxmlformats.org/officeDocument/2006/relationships/hyperlink" Target="https://investmoscow.ru/tenders/tender/20208859" TargetMode="External"/><Relationship Id="rId14" Type="http://schemas.openxmlformats.org/officeDocument/2006/relationships/hyperlink" Target="https://www.roseltorg.ru/procedure/21000005000000034221/1" TargetMode="External"/><Relationship Id="rId15" Type="http://schemas.openxmlformats.org/officeDocument/2006/relationships/hyperlink" Target="https://torgi.gov.ru/new/public/notices/view/21000005000000034221" TargetMode="External"/><Relationship Id="rId16" Type="http://schemas.openxmlformats.org/officeDocument/2006/relationships/hyperlink" Target="https://investmoscow.ru/tenders/tender/20209390" TargetMode="External"/><Relationship Id="rId17" Type="http://schemas.openxmlformats.org/officeDocument/2006/relationships/hyperlink" Target="https://www.roseltorg.ru/procedure/21000005000000034236/1" TargetMode="External"/><Relationship Id="rId18" Type="http://schemas.openxmlformats.org/officeDocument/2006/relationships/hyperlink" Target="https://torgi.gov.ru/new/public/notices/view/21000005000000034236" TargetMode="External"/><Relationship Id="rId19" Type="http://schemas.openxmlformats.org/officeDocument/2006/relationships/hyperlink" Target="https://investmoscow.ru/tenders/tender/20212872" TargetMode="External"/><Relationship Id="rId20" Type="http://schemas.openxmlformats.org/officeDocument/2006/relationships/hyperlink" Target="https://www.roseltorg.ru/procedure/21000005000000034406" TargetMode="External"/><Relationship Id="rId21" Type="http://schemas.openxmlformats.org/officeDocument/2006/relationships/hyperlink" Target="https://torgi.gov.ru/new/public/notices/view/21000005000000034406" TargetMode="External"/><Relationship Id="rId22" Type="http://schemas.openxmlformats.org/officeDocument/2006/relationships/hyperlink" Target="https://investmoscow.ru/tenders/tender/20182722" TargetMode="External"/><Relationship Id="rId23" Type="http://schemas.openxmlformats.org/officeDocument/2006/relationships/hyperlink" Target="https://www.roseltorg.ru/procedure/178fz17092600002/1" TargetMode="External"/><Relationship Id="rId24" Type="http://schemas.openxmlformats.org/officeDocument/2006/relationships/hyperlink" Target="https://www.roseltorg.ru/procedure/21000003370000000430/1" TargetMode="External"/><Relationship Id="rId25" Type="http://schemas.openxmlformats.org/officeDocument/2006/relationships/hyperlink" Target="https://www.roseltorg.ru/procedure/21000003370000000430/1" TargetMode="External"/><Relationship Id="rId26" Type="http://schemas.openxmlformats.org/officeDocument/2006/relationships/hyperlink" Target="https://torgi.gov.ru/new/public/notices/view/21000003370000000430" TargetMode="External"/><Relationship Id="rId27" Type="http://schemas.openxmlformats.org/officeDocument/2006/relationships/vmlDrawing" Target="../drawings/vmlDrawing1.vml"/><Relationship Id="rId28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I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8"/>
    <col collapsed="false" customWidth="true" hidden="false" outlineLevel="0" max="5" min="5" style="0" width="17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15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21"/>
    <col collapsed="false" customWidth="true" hidden="false" outlineLevel="0" max="19" min="19" style="0" width="16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24"/>
    <col collapsed="false" customWidth="true" hidden="false" outlineLevel="0" max="25" min="24" style="0" width="16"/>
    <col collapsed="false" customWidth="true" hidden="false" outlineLevel="0" max="26" min="26" style="0" width="10"/>
    <col collapsed="false" customWidth="true" hidden="false" outlineLevel="0" max="29" min="27" style="0" width="16"/>
    <col collapsed="false" customWidth="true" hidden="false" outlineLevel="0" max="32" min="30" style="0" width="11"/>
    <col collapsed="false" customWidth="true" hidden="false" outlineLevel="0" max="33" min="33" style="0" width="16"/>
    <col collapsed="false" customWidth="true" hidden="false" outlineLevel="0" max="34" min="34" style="0" width="23"/>
    <col collapsed="false" customWidth="true" hidden="false" outlineLevel="0" max="35" min="35" style="0" width="60"/>
  </cols>
  <sheetData>
    <row r="1" customFormat="false" ht="43.5" hidden="false" customHeight="tru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2" t="s">
        <v>33</v>
      </c>
      <c r="AI1" s="2" t="s">
        <v>34</v>
      </c>
    </row>
    <row r="2" customFormat="false" ht="35.05" hidden="false" customHeight="false" outlineLevel="0" collapsed="false">
      <c r="A2" s="4" t="n">
        <v>1</v>
      </c>
      <c r="B2" s="5" t="s">
        <v>35</v>
      </c>
      <c r="C2" s="5" t="s">
        <v>36</v>
      </c>
      <c r="D2" s="6" t="s">
        <v>37</v>
      </c>
      <c r="E2" s="5" t="s">
        <v>38</v>
      </c>
      <c r="F2" s="5" t="s">
        <v>39</v>
      </c>
      <c r="G2" s="4" t="n">
        <v>5</v>
      </c>
      <c r="H2" s="7" t="n">
        <v>42.3</v>
      </c>
      <c r="I2" s="8"/>
      <c r="J2" s="5" t="s">
        <v>40</v>
      </c>
      <c r="K2" s="4" t="n">
        <v>3</v>
      </c>
      <c r="L2" s="6" t="s">
        <v>41</v>
      </c>
      <c r="M2" s="5" t="s">
        <v>42</v>
      </c>
      <c r="N2" s="5" t="s">
        <v>43</v>
      </c>
      <c r="O2" s="6" t="s">
        <v>41</v>
      </c>
      <c r="P2" s="6" t="s">
        <v>41</v>
      </c>
      <c r="Q2" s="9" t="s">
        <v>44</v>
      </c>
      <c r="R2" s="10" t="s">
        <v>45</v>
      </c>
      <c r="S2" s="8" t="n">
        <v>15384000</v>
      </c>
      <c r="T2" s="8" t="n">
        <f aca="false">IF(AND(ISNUMBER(S2),ISNUMBER(H2),H2&gt;0),S2/H2,"")</f>
        <v>363687.943262411</v>
      </c>
      <c r="U2" s="11" t="n">
        <v>1538400</v>
      </c>
      <c r="V2" s="11" t="n">
        <v>769200</v>
      </c>
      <c r="W2" s="5" t="s">
        <v>46</v>
      </c>
      <c r="X2" s="12" t="n">
        <v>46279.8333333333</v>
      </c>
      <c r="Y2" s="12" t="n">
        <v>46335.625</v>
      </c>
      <c r="Z2" s="4" t="n">
        <f aca="true">IF(ISNUMBER(Y2),MAX(0,INT(Y2-TODAY())),"")</f>
        <v>20</v>
      </c>
      <c r="AA2" s="12" t="n">
        <v>46342.4166666667</v>
      </c>
      <c r="AB2" s="12" t="n">
        <v>46344.4166666667</v>
      </c>
      <c r="AC2" s="12" t="n">
        <v>46344.7083333333</v>
      </c>
      <c r="AD2" s="13" t="s">
        <v>47</v>
      </c>
      <c r="AE2" s="13" t="s">
        <v>47</v>
      </c>
      <c r="AF2" s="13" t="s">
        <v>47</v>
      </c>
      <c r="AG2" s="9" t="s">
        <v>48</v>
      </c>
      <c r="AH2" s="9" t="s">
        <v>49</v>
      </c>
      <c r="AI2" s="5" t="s">
        <v>50</v>
      </c>
    </row>
    <row r="3" customFormat="false" ht="23.85" hidden="false" customHeight="false" outlineLevel="0" collapsed="false">
      <c r="A3" s="4" t="n">
        <v>2</v>
      </c>
      <c r="B3" s="5" t="s">
        <v>35</v>
      </c>
      <c r="C3" s="5" t="s">
        <v>51</v>
      </c>
      <c r="D3" s="6" t="s">
        <v>37</v>
      </c>
      <c r="E3" s="5" t="s">
        <v>52</v>
      </c>
      <c r="F3" s="5" t="s">
        <v>53</v>
      </c>
      <c r="G3" s="4" t="n">
        <v>9</v>
      </c>
      <c r="H3" s="7" t="n">
        <v>13.1</v>
      </c>
      <c r="I3" s="8"/>
      <c r="J3" s="5" t="s">
        <v>40</v>
      </c>
      <c r="K3" s="4" t="n">
        <v>2</v>
      </c>
      <c r="L3" s="6" t="s">
        <v>54</v>
      </c>
      <c r="M3" s="5" t="s">
        <v>42</v>
      </c>
      <c r="N3" s="5" t="s">
        <v>55</v>
      </c>
      <c r="O3" s="6" t="s">
        <v>41</v>
      </c>
      <c r="P3" s="6" t="s">
        <v>41</v>
      </c>
      <c r="Q3" s="9" t="s">
        <v>56</v>
      </c>
      <c r="R3" s="10" t="s">
        <v>45</v>
      </c>
      <c r="S3" s="8" t="n">
        <v>17225000</v>
      </c>
      <c r="T3" s="8" t="n">
        <f aca="false">IF(AND(ISNUMBER(S3),ISNUMBER(H3),H3&gt;0),S3/H3,"")</f>
        <v>1314885.49618321</v>
      </c>
      <c r="U3" s="11" t="n">
        <v>1722500</v>
      </c>
      <c r="V3" s="11" t="n">
        <v>861250</v>
      </c>
      <c r="W3" s="5" t="s">
        <v>46</v>
      </c>
      <c r="X3" s="12" t="n">
        <v>46289.8333333333</v>
      </c>
      <c r="Y3" s="12" t="n">
        <v>46337.625</v>
      </c>
      <c r="Z3" s="4" t="n">
        <f aca="true">IF(ISNUMBER(Y3),MAX(0,INT(Y3-TODAY())),"")</f>
        <v>22</v>
      </c>
      <c r="AA3" s="12" t="n">
        <v>46344.4166666667</v>
      </c>
      <c r="AB3" s="12" t="n">
        <v>46346.4166666667</v>
      </c>
      <c r="AC3" s="12" t="n">
        <v>46346.7083333333</v>
      </c>
      <c r="AD3" s="13" t="s">
        <v>47</v>
      </c>
      <c r="AE3" s="13" t="s">
        <v>47</v>
      </c>
      <c r="AF3" s="13" t="s">
        <v>47</v>
      </c>
      <c r="AG3" s="9" t="s">
        <v>48</v>
      </c>
      <c r="AH3" s="9" t="s">
        <v>57</v>
      </c>
      <c r="AI3" s="5" t="s">
        <v>58</v>
      </c>
    </row>
    <row r="4" customFormat="false" ht="23.85" hidden="false" customHeight="false" outlineLevel="0" collapsed="false">
      <c r="A4" s="4" t="n">
        <v>3</v>
      </c>
      <c r="B4" s="5" t="s">
        <v>35</v>
      </c>
      <c r="C4" s="5" t="s">
        <v>59</v>
      </c>
      <c r="D4" s="6" t="s">
        <v>37</v>
      </c>
      <c r="E4" s="5" t="s">
        <v>60</v>
      </c>
      <c r="F4" s="5" t="s">
        <v>61</v>
      </c>
      <c r="G4" s="4" t="n">
        <v>9</v>
      </c>
      <c r="H4" s="7" t="n">
        <v>167.1</v>
      </c>
      <c r="I4" s="8"/>
      <c r="J4" s="5" t="s">
        <v>40</v>
      </c>
      <c r="K4" s="4" t="n">
        <v>6</v>
      </c>
      <c r="L4" s="6" t="s">
        <v>41</v>
      </c>
      <c r="M4" s="5" t="s">
        <v>42</v>
      </c>
      <c r="N4" s="5" t="s">
        <v>62</v>
      </c>
      <c r="O4" s="6" t="s">
        <v>41</v>
      </c>
      <c r="P4" s="6" t="s">
        <v>41</v>
      </c>
      <c r="Q4" s="9" t="s">
        <v>63</v>
      </c>
      <c r="R4" s="10" t="s">
        <v>45</v>
      </c>
      <c r="S4" s="8" t="n">
        <v>50797000</v>
      </c>
      <c r="T4" s="8" t="n">
        <f aca="false">IF(AND(ISNUMBER(S4),ISNUMBER(H4),H4&gt;0),S4/H4,"")</f>
        <v>303991.621783363</v>
      </c>
      <c r="U4" s="11" t="n">
        <v>5079700</v>
      </c>
      <c r="V4" s="11" t="n">
        <v>2539850</v>
      </c>
      <c r="W4" s="5" t="s">
        <v>46</v>
      </c>
      <c r="X4" s="12" t="n">
        <v>46301.8333333333</v>
      </c>
      <c r="Y4" s="12" t="n">
        <v>46335.625</v>
      </c>
      <c r="Z4" s="4" t="n">
        <f aca="true">IF(ISNUMBER(Y4),MAX(0,INT(Y4-TODAY())),"")</f>
        <v>20</v>
      </c>
      <c r="AA4" s="12" t="n">
        <v>46338.4166666667</v>
      </c>
      <c r="AB4" s="12" t="n">
        <v>46343.4166666667</v>
      </c>
      <c r="AC4" s="12" t="n">
        <v>46343.7083333333</v>
      </c>
      <c r="AD4" s="13" t="s">
        <v>47</v>
      </c>
      <c r="AE4" s="13" t="s">
        <v>47</v>
      </c>
      <c r="AF4" s="13" t="s">
        <v>47</v>
      </c>
      <c r="AG4" s="9" t="s">
        <v>48</v>
      </c>
      <c r="AH4" s="9" t="s">
        <v>64</v>
      </c>
      <c r="AI4" s="5"/>
    </row>
    <row r="5" customFormat="false" ht="46.25" hidden="false" customHeight="false" outlineLevel="0" collapsed="false">
      <c r="A5" s="4" t="n">
        <v>4</v>
      </c>
      <c r="B5" s="5" t="s">
        <v>35</v>
      </c>
      <c r="C5" s="5" t="s">
        <v>65</v>
      </c>
      <c r="D5" s="6" t="s">
        <v>37</v>
      </c>
      <c r="E5" s="5" t="s">
        <v>66</v>
      </c>
      <c r="F5" s="5" t="s">
        <v>67</v>
      </c>
      <c r="G5" s="4" t="n">
        <v>2</v>
      </c>
      <c r="H5" s="7" t="n">
        <v>315.5</v>
      </c>
      <c r="I5" s="8"/>
      <c r="J5" s="5" t="s">
        <v>68</v>
      </c>
      <c r="K5" s="4" t="n">
        <v>3</v>
      </c>
      <c r="L5" s="14" t="s">
        <v>45</v>
      </c>
      <c r="M5" s="15" t="s">
        <v>45</v>
      </c>
      <c r="N5" s="15" t="s">
        <v>45</v>
      </c>
      <c r="O5" s="14" t="s">
        <v>45</v>
      </c>
      <c r="P5" s="14" t="s">
        <v>45</v>
      </c>
      <c r="Q5" s="10" t="s">
        <v>45</v>
      </c>
      <c r="R5" s="10" t="s">
        <v>45</v>
      </c>
      <c r="S5" s="8" t="n">
        <v>112951260</v>
      </c>
      <c r="T5" s="8" t="n">
        <f aca="false">IF(AND(ISNUMBER(S5),ISNUMBER(H5),H5&gt;0),S5/H5,"")</f>
        <v>358007.163232964</v>
      </c>
      <c r="U5" s="11" t="n">
        <v>11295126</v>
      </c>
      <c r="V5" s="16" t="s">
        <v>45</v>
      </c>
      <c r="W5" s="5" t="s">
        <v>69</v>
      </c>
      <c r="X5" s="12" t="n">
        <v>46308.5833333333</v>
      </c>
      <c r="Y5" s="12" t="n">
        <v>46369.5833333333</v>
      </c>
      <c r="Z5" s="4" t="n">
        <f aca="true">IF(ISNUMBER(Y5),MAX(0,INT(Y5-TODAY())),"")</f>
        <v>54</v>
      </c>
      <c r="AA5" s="12" t="n">
        <v>46372.625</v>
      </c>
      <c r="AB5" s="12" t="n">
        <v>46373.4583333333</v>
      </c>
      <c r="AC5" s="17" t="s">
        <v>45</v>
      </c>
      <c r="AD5" s="13" t="s">
        <v>47</v>
      </c>
      <c r="AE5" s="13" t="s">
        <v>47</v>
      </c>
      <c r="AF5" s="4"/>
      <c r="AG5" s="9" t="s">
        <v>70</v>
      </c>
      <c r="AH5" s="9" t="s">
        <v>71</v>
      </c>
      <c r="AI5" s="5" t="s">
        <v>72</v>
      </c>
    </row>
    <row r="6" customFormat="false" ht="35.05" hidden="false" customHeight="false" outlineLevel="0" collapsed="false">
      <c r="A6" s="4" t="n">
        <v>5</v>
      </c>
      <c r="B6" s="5" t="s">
        <v>73</v>
      </c>
      <c r="C6" s="5" t="s">
        <v>74</v>
      </c>
      <c r="D6" s="6" t="s">
        <v>75</v>
      </c>
      <c r="E6" s="5" t="s">
        <v>76</v>
      </c>
      <c r="F6" s="5" t="s">
        <v>77</v>
      </c>
      <c r="G6" s="4" t="n">
        <v>12</v>
      </c>
      <c r="H6" s="7" t="n">
        <v>898.3</v>
      </c>
      <c r="I6" s="8" t="n">
        <v>808</v>
      </c>
      <c r="J6" s="15" t="s">
        <v>45</v>
      </c>
      <c r="K6" s="4" t="n">
        <v>1</v>
      </c>
      <c r="L6" s="6" t="s">
        <v>41</v>
      </c>
      <c r="M6" s="5" t="s">
        <v>42</v>
      </c>
      <c r="N6" s="15" t="s">
        <v>45</v>
      </c>
      <c r="O6" s="6" t="s">
        <v>41</v>
      </c>
      <c r="P6" s="6" t="s">
        <v>41</v>
      </c>
      <c r="Q6" s="9" t="s">
        <v>78</v>
      </c>
      <c r="R6" s="9" t="s">
        <v>79</v>
      </c>
      <c r="S6" s="8" t="n">
        <v>158898000</v>
      </c>
      <c r="T6" s="8" t="n">
        <f aca="false">IF(AND(ISNUMBER(S6),ISNUMBER(H6),H6&gt;0),S6/H6,"")</f>
        <v>176887.454079929</v>
      </c>
      <c r="U6" s="11" t="n">
        <v>31779600</v>
      </c>
      <c r="V6" s="11" t="n">
        <v>1588980</v>
      </c>
      <c r="W6" s="5" t="s">
        <v>46</v>
      </c>
      <c r="X6" s="12" t="n">
        <v>46302.8333333333</v>
      </c>
      <c r="Y6" s="12" t="n">
        <v>46335.625</v>
      </c>
      <c r="Z6" s="4" t="n">
        <f aca="true">IF(ISNUMBER(Y6),MAX(0,INT(Y6-TODAY())),"")</f>
        <v>20</v>
      </c>
      <c r="AA6" s="12" t="n">
        <v>46338.4166666667</v>
      </c>
      <c r="AB6" s="12" t="n">
        <v>46343.4166666667</v>
      </c>
      <c r="AC6" s="12" t="n">
        <v>46343.7083333333</v>
      </c>
      <c r="AD6" s="13" t="s">
        <v>47</v>
      </c>
      <c r="AE6" s="13" t="s">
        <v>47</v>
      </c>
      <c r="AF6" s="13" t="s">
        <v>47</v>
      </c>
      <c r="AG6" s="9" t="s">
        <v>48</v>
      </c>
      <c r="AH6" s="9" t="s">
        <v>80</v>
      </c>
      <c r="AI6" s="5" t="s">
        <v>81</v>
      </c>
    </row>
    <row r="7" customFormat="false" ht="23.85" hidden="false" customHeight="false" outlineLevel="0" collapsed="false">
      <c r="A7" s="4" t="n">
        <v>6</v>
      </c>
      <c r="B7" s="5" t="s">
        <v>73</v>
      </c>
      <c r="C7" s="5" t="s">
        <v>82</v>
      </c>
      <c r="D7" s="6" t="s">
        <v>37</v>
      </c>
      <c r="E7" s="5" t="s">
        <v>66</v>
      </c>
      <c r="F7" s="5" t="s">
        <v>83</v>
      </c>
      <c r="G7" s="4" t="n">
        <v>4</v>
      </c>
      <c r="H7" s="7" t="n">
        <v>634.4</v>
      </c>
      <c r="I7" s="8" t="n">
        <v>396</v>
      </c>
      <c r="J7" s="15" t="s">
        <v>45</v>
      </c>
      <c r="K7" s="4" t="n">
        <v>1</v>
      </c>
      <c r="L7" s="6" t="s">
        <v>41</v>
      </c>
      <c r="M7" s="5" t="s">
        <v>42</v>
      </c>
      <c r="N7" s="15" t="s">
        <v>45</v>
      </c>
      <c r="O7" s="6" t="s">
        <v>41</v>
      </c>
      <c r="P7" s="6" t="s">
        <v>41</v>
      </c>
      <c r="Q7" s="9" t="s">
        <v>84</v>
      </c>
      <c r="R7" s="9" t="s">
        <v>85</v>
      </c>
      <c r="S7" s="8" t="n">
        <v>195014000</v>
      </c>
      <c r="T7" s="8" t="n">
        <f aca="false">IF(AND(ISNUMBER(S7),ISNUMBER(H7),H7&gt;0),S7/H7,"")</f>
        <v>307399.117276166</v>
      </c>
      <c r="U7" s="11" t="n">
        <v>39002800</v>
      </c>
      <c r="V7" s="11" t="n">
        <v>1950140</v>
      </c>
      <c r="W7" s="5" t="s">
        <v>46</v>
      </c>
      <c r="X7" s="12" t="n">
        <v>46302.8333333333</v>
      </c>
      <c r="Y7" s="12" t="n">
        <v>46335.625</v>
      </c>
      <c r="Z7" s="4" t="n">
        <f aca="true">IF(ISNUMBER(Y7),MAX(0,INT(Y7-TODAY())),"")</f>
        <v>20</v>
      </c>
      <c r="AA7" s="12" t="n">
        <v>46338.4166666667</v>
      </c>
      <c r="AB7" s="12" t="n">
        <v>46343.4166666667</v>
      </c>
      <c r="AC7" s="12" t="n">
        <v>46343.7083333333</v>
      </c>
      <c r="AD7" s="13" t="s">
        <v>47</v>
      </c>
      <c r="AE7" s="13" t="s">
        <v>47</v>
      </c>
      <c r="AF7" s="13" t="s">
        <v>47</v>
      </c>
      <c r="AG7" s="9" t="s">
        <v>48</v>
      </c>
      <c r="AH7" s="9" t="s">
        <v>86</v>
      </c>
      <c r="AI7" s="5" t="s">
        <v>81</v>
      </c>
    </row>
    <row r="8" customFormat="false" ht="23.85" hidden="false" customHeight="false" outlineLevel="0" collapsed="false">
      <c r="A8" s="4" t="n">
        <v>7</v>
      </c>
      <c r="B8" s="5" t="s">
        <v>35</v>
      </c>
      <c r="C8" s="5" t="s">
        <v>87</v>
      </c>
      <c r="D8" s="6" t="s">
        <v>37</v>
      </c>
      <c r="E8" s="5" t="s">
        <v>38</v>
      </c>
      <c r="F8" s="5" t="s">
        <v>88</v>
      </c>
      <c r="G8" s="4" t="n">
        <v>9</v>
      </c>
      <c r="H8" s="7" t="n">
        <v>431.2</v>
      </c>
      <c r="I8" s="8"/>
      <c r="J8" s="5" t="s">
        <v>40</v>
      </c>
      <c r="K8" s="4"/>
      <c r="L8" s="6" t="s">
        <v>54</v>
      </c>
      <c r="M8" s="5" t="s">
        <v>42</v>
      </c>
      <c r="N8" s="5" t="s">
        <v>89</v>
      </c>
      <c r="O8" s="6" t="s">
        <v>41</v>
      </c>
      <c r="P8" s="6" t="s">
        <v>41</v>
      </c>
      <c r="Q8" s="9" t="s">
        <v>90</v>
      </c>
      <c r="R8" s="10" t="s">
        <v>45</v>
      </c>
      <c r="S8" s="8" t="n">
        <v>239527000</v>
      </c>
      <c r="T8" s="8" t="n">
        <f aca="false">IF(AND(ISNUMBER(S8),ISNUMBER(H8),H8&gt;0),S8/H8,"")</f>
        <v>555489.332096475</v>
      </c>
      <c r="U8" s="11" t="n">
        <v>47905400</v>
      </c>
      <c r="V8" s="11" t="n">
        <v>2395270</v>
      </c>
      <c r="W8" s="5" t="s">
        <v>46</v>
      </c>
      <c r="X8" s="12" t="n">
        <v>46308.8333333333</v>
      </c>
      <c r="Y8" s="12" t="n">
        <v>46342.625</v>
      </c>
      <c r="Z8" s="4" t="n">
        <f aca="true">IF(ISNUMBER(Y8),MAX(0,INT(Y8-TODAY())),"")</f>
        <v>27</v>
      </c>
      <c r="AA8" s="12" t="n">
        <v>46345.4166666667</v>
      </c>
      <c r="AB8" s="12" t="n">
        <v>46350.4166666667</v>
      </c>
      <c r="AC8" s="12" t="n">
        <v>46350.7083333333</v>
      </c>
      <c r="AD8" s="13" t="s">
        <v>47</v>
      </c>
      <c r="AE8" s="13" t="s">
        <v>47</v>
      </c>
      <c r="AF8" s="13" t="s">
        <v>47</v>
      </c>
      <c r="AG8" s="9" t="s">
        <v>48</v>
      </c>
      <c r="AH8" s="9" t="s">
        <v>91</v>
      </c>
      <c r="AI8" s="5" t="s">
        <v>58</v>
      </c>
    </row>
    <row r="9" customFormat="false" ht="35.05" hidden="false" customHeight="false" outlineLevel="0" collapsed="false">
      <c r="A9" s="4" t="n">
        <v>8</v>
      </c>
      <c r="B9" s="5" t="s">
        <v>92</v>
      </c>
      <c r="C9" s="5" t="s">
        <v>93</v>
      </c>
      <c r="D9" s="6" t="s">
        <v>37</v>
      </c>
      <c r="E9" s="5" t="s">
        <v>60</v>
      </c>
      <c r="F9" s="5" t="s">
        <v>94</v>
      </c>
      <c r="G9" s="4" t="n">
        <v>2</v>
      </c>
      <c r="H9" s="7" t="n">
        <v>1030.1</v>
      </c>
      <c r="I9" s="8"/>
      <c r="J9" s="15" t="s">
        <v>45</v>
      </c>
      <c r="K9" s="4" t="n">
        <v>3</v>
      </c>
      <c r="L9" s="6" t="s">
        <v>54</v>
      </c>
      <c r="M9" s="5" t="s">
        <v>42</v>
      </c>
      <c r="N9" s="15" t="s">
        <v>45</v>
      </c>
      <c r="O9" s="6" t="s">
        <v>41</v>
      </c>
      <c r="P9" s="6" t="s">
        <v>41</v>
      </c>
      <c r="Q9" s="9" t="s">
        <v>95</v>
      </c>
      <c r="R9" s="10" t="s">
        <v>45</v>
      </c>
      <c r="S9" s="8" t="n">
        <v>263000000</v>
      </c>
      <c r="T9" s="8" t="n">
        <f aca="false">IF(AND(ISNUMBER(S9),ISNUMBER(H9),H9&gt;0),S9/H9,"")</f>
        <v>255315.017959421</v>
      </c>
      <c r="U9" s="11" t="n">
        <v>131500000</v>
      </c>
      <c r="V9" s="11" t="n">
        <v>2630000</v>
      </c>
      <c r="W9" s="5" t="s">
        <v>46</v>
      </c>
      <c r="X9" s="12" t="n">
        <v>46282.8333333333</v>
      </c>
      <c r="Y9" s="12" t="n">
        <v>46339.625</v>
      </c>
      <c r="Z9" s="4" t="n">
        <f aca="true">IF(ISNUMBER(Y9),MAX(0,INT(Y9-TODAY())),"")</f>
        <v>24</v>
      </c>
      <c r="AA9" s="12" t="n">
        <v>46344.4166666667</v>
      </c>
      <c r="AB9" s="12" t="n">
        <v>46346.4166666667</v>
      </c>
      <c r="AC9" s="12" t="n">
        <v>46346.7083333333</v>
      </c>
      <c r="AD9" s="13" t="s">
        <v>47</v>
      </c>
      <c r="AE9" s="13" t="s">
        <v>47</v>
      </c>
      <c r="AF9" s="4"/>
      <c r="AG9" s="9" t="s">
        <v>48</v>
      </c>
      <c r="AH9" s="9" t="s">
        <v>96</v>
      </c>
      <c r="AI9" s="5" t="s">
        <v>97</v>
      </c>
    </row>
    <row r="10" customFormat="false" ht="57.45" hidden="false" customHeight="false" outlineLevel="0" collapsed="false">
      <c r="A10" s="4" t="n">
        <v>9</v>
      </c>
      <c r="B10" s="5" t="s">
        <v>73</v>
      </c>
      <c r="C10" s="5" t="s">
        <v>98</v>
      </c>
      <c r="D10" s="6" t="s">
        <v>37</v>
      </c>
      <c r="E10" s="5" t="s">
        <v>99</v>
      </c>
      <c r="F10" s="5" t="s">
        <v>100</v>
      </c>
      <c r="G10" s="4" t="n">
        <v>4</v>
      </c>
      <c r="H10" s="7" t="n">
        <v>1259.3</v>
      </c>
      <c r="I10" s="8" t="n">
        <v>621</v>
      </c>
      <c r="J10" s="15" t="s">
        <v>45</v>
      </c>
      <c r="K10" s="4" t="n">
        <v>3</v>
      </c>
      <c r="L10" s="14" t="s">
        <v>45</v>
      </c>
      <c r="M10" s="5" t="s">
        <v>101</v>
      </c>
      <c r="N10" s="15" t="s">
        <v>45</v>
      </c>
      <c r="O10" s="14" t="s">
        <v>45</v>
      </c>
      <c r="P10" s="6" t="s">
        <v>102</v>
      </c>
      <c r="Q10" s="9" t="s">
        <v>103</v>
      </c>
      <c r="R10" s="9" t="s">
        <v>104</v>
      </c>
      <c r="S10" s="8" t="n">
        <v>289558721</v>
      </c>
      <c r="T10" s="8" t="n">
        <f aca="false">IF(AND(ISNUMBER(S10),ISNUMBER(H10),H10&gt;0),S10/H10,"")</f>
        <v>229936.251091876</v>
      </c>
      <c r="U10" s="11" t="n">
        <v>57911744.2</v>
      </c>
      <c r="V10" s="11" t="n">
        <v>5791174.42</v>
      </c>
      <c r="W10" s="5" t="s">
        <v>105</v>
      </c>
      <c r="X10" s="12" t="n">
        <v>46311.8333333333</v>
      </c>
      <c r="Y10" s="12" t="n">
        <v>46351.9993055556</v>
      </c>
      <c r="Z10" s="4" t="n">
        <f aca="true">IF(ISNUMBER(Y10),MAX(0,INT(Y10-TODAY())),"")</f>
        <v>36</v>
      </c>
      <c r="AA10" s="12" t="n">
        <v>46353.9993055556</v>
      </c>
      <c r="AB10" s="12" t="n">
        <v>46356.4583333333</v>
      </c>
      <c r="AC10" s="17" t="s">
        <v>45</v>
      </c>
      <c r="AD10" s="13" t="s">
        <v>47</v>
      </c>
      <c r="AE10" s="13" t="s">
        <v>47</v>
      </c>
      <c r="AF10" s="13" t="s">
        <v>47</v>
      </c>
      <c r="AG10" s="9" t="s">
        <v>106</v>
      </c>
      <c r="AH10" s="9" t="s">
        <v>107</v>
      </c>
      <c r="AI10" s="5" t="s">
        <v>108</v>
      </c>
    </row>
  </sheetData>
  <hyperlinks>
    <hyperlink ref="AD2" r:id="rId2" display="открыть"/>
    <hyperlink ref="AE2" r:id="rId3" display="открыть"/>
    <hyperlink ref="AF2" r:id="rId4" display="открыть"/>
    <hyperlink ref="AD3" r:id="rId5" display="открыть"/>
    <hyperlink ref="AE3" r:id="rId6" display="открыть"/>
    <hyperlink ref="AF3" r:id="rId7" display="открыть"/>
    <hyperlink ref="AD4" r:id="rId8" display="открыть"/>
    <hyperlink ref="AE4" r:id="rId9" display="открыть"/>
    <hyperlink ref="AF4" r:id="rId10" display="открыть"/>
    <hyperlink ref="AD5" r:id="rId11" display="открыть"/>
    <hyperlink ref="AE5" r:id="rId12" display="открыть"/>
    <hyperlink ref="AD6" r:id="rId13" display="открыть"/>
    <hyperlink ref="AE6" r:id="rId14" display="открыть"/>
    <hyperlink ref="AF6" r:id="rId15" display="открыть"/>
    <hyperlink ref="AD7" r:id="rId16" display="открыть"/>
    <hyperlink ref="AE7" r:id="rId17" display="открыть"/>
    <hyperlink ref="AF7" r:id="rId18" display="открыть"/>
    <hyperlink ref="AD8" r:id="rId19" display="открыть"/>
    <hyperlink ref="AE8" r:id="rId20" display="открыть"/>
    <hyperlink ref="AF8" r:id="rId21" display="открыть"/>
    <hyperlink ref="AD9" r:id="rId22" display="открыть"/>
    <hyperlink ref="AE9" r:id="rId23" display="открыть"/>
    <hyperlink ref="AD10" r:id="rId24" display="открыть"/>
    <hyperlink ref="AE10" r:id="rId25" display="открыть"/>
    <hyperlink ref="AF10" r:id="rId26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7"/>
  <tableParts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8" min="7" style="0" width="16"/>
    <col collapsed="false" customWidth="true" hidden="false" outlineLevel="0" max="9" min="9" style="0" width="18"/>
    <col collapsed="false" customWidth="true" hidden="false" outlineLevel="0" max="10" min="10" style="0" width="15"/>
    <col collapsed="false" customWidth="true" hidden="false" outlineLevel="0" max="11" min="11" style="0" width="10"/>
  </cols>
  <sheetData>
    <row r="1" customFormat="false" ht="19.5" hidden="false" customHeight="true" outlineLevel="0" collapsed="false">
      <c r="A1" s="18" t="s">
        <v>109</v>
      </c>
      <c r="B1" s="18"/>
      <c r="C1" s="19" t="s">
        <v>18</v>
      </c>
      <c r="D1" s="19"/>
      <c r="E1" s="19"/>
    </row>
    <row r="2" customFormat="false" ht="19.5" hidden="false" customHeight="true" outlineLevel="0" collapsed="false">
      <c r="A2" s="18" t="s">
        <v>110</v>
      </c>
      <c r="B2" s="18"/>
      <c r="C2" s="19" t="s">
        <v>111</v>
      </c>
      <c r="D2" s="19"/>
      <c r="E2" s="19"/>
    </row>
    <row r="4" customFormat="false" ht="30" hidden="false" customHeight="true" outlineLevel="0" collapsed="false">
      <c r="A4" s="1" t="s">
        <v>112</v>
      </c>
      <c r="B4" s="2" t="s">
        <v>2</v>
      </c>
      <c r="C4" s="2" t="s">
        <v>1</v>
      </c>
      <c r="D4" s="3" t="s">
        <v>7</v>
      </c>
      <c r="E4" s="3" t="s">
        <v>18</v>
      </c>
      <c r="F4" s="3" t="s">
        <v>19</v>
      </c>
      <c r="G4" s="1" t="s">
        <v>24</v>
      </c>
      <c r="H4" s="1" t="s">
        <v>27</v>
      </c>
      <c r="I4" s="3" t="s">
        <v>113</v>
      </c>
      <c r="J4" s="2" t="s">
        <v>5</v>
      </c>
      <c r="K4" s="1" t="s">
        <v>25</v>
      </c>
    </row>
    <row r="5" customFormat="false" ht="23.85" hidden="false" customHeight="false" outlineLevel="0" collapsed="false">
      <c r="A5" s="4" t="n">
        <v>1</v>
      </c>
      <c r="B5" s="5" t="str">
        <f aca="false">IFERROR(INDEX(Реестр!$A$2:$AI$10,MATCH(1,_calc!$C$1:$C$9,0),MATCH("Адрес",Реестр!$A$1:$AI$1,0)),"")</f>
        <v>Малый Златоустинский пер., д. 8, стр. 1, этаж 1</v>
      </c>
      <c r="C5" s="5" t="str">
        <f aca="false">IFERROR(INDEX(Реестр!$A$2:$AI$10,MATCH(1,_calc!$C$1:$C$9,0),MATCH("Тип объекта",Реестр!$A$1:$AI$1,0)),"")</f>
        <v>Нежилое помещение</v>
      </c>
      <c r="D5" s="7" t="n">
        <f aca="false">IFERROR(INDEX(Реестр!$A$2:$AI$10,MATCH(1,_calc!$C$1:$C$9,0),MATCH("Площадь, м²",Реестр!$A$1:$AI$1,0)),"")</f>
        <v>42.3</v>
      </c>
      <c r="E5" s="8" t="n">
        <f aca="false">IFERROR(INDEX(Реестр!$A$2:$AI$10,MATCH(1,_calc!$C$1:$C$9,0),MATCH("Начальная цена, ₽",Реестр!$A$1:$AI$1,0)),"")</f>
        <v>15384000</v>
      </c>
      <c r="F5" s="8" t="n">
        <f aca="false">IFERROR(INDEX(Реестр!$A$2:$AI$10,MATCH(1,_calc!$C$1:$C$9,0),MATCH("Цена за м², ₽",Реестр!$A$1:$AI$1,0)),"")</f>
        <v>363687.943262411</v>
      </c>
      <c r="G5" s="20" t="n">
        <f aca="false">IFERROR(INDEX(Реестр!$A$2:$AI$10,MATCH(1,_calc!$C$1:$C$9,0),MATCH("Приём заявок до",Реестр!$A$1:$AI$1,0)),"")</f>
        <v>46335.625</v>
      </c>
      <c r="H5" s="20" t="n">
        <f aca="false">IFERROR(INDEX(Реестр!$A$2:$AI$10,MATCH(1,_calc!$C$1:$C$9,0),MATCH("Дата торгов",Реестр!$A$1:$AI$1,0)),"")</f>
        <v>46344.4166666667</v>
      </c>
      <c r="I5" s="21" t="n">
        <f aca="false">IFERROR(IF(AND(OR($C$1="Приём заявок до",$C$1="Дата торгов"),ISNUMBER(INDEX(_calc!$A$1:$A$9,MATCH(1,_calc!$C$1:$C$9,0)))),RIGHT("0"&amp;DAY(INDEX(_calc!$A$1:$A$9,MATCH(1,_calc!$C$1:$C$9,0))),2)&amp;"."&amp;RIGHT("0"&amp;MONTH(INDEX(_calc!$A$1:$A$9,MATCH(1,_calc!$C$1:$C$9,0))),2)&amp;"."&amp;YEAR(INDEX(_calc!$A$1:$A$9,MATCH(1,_calc!$C$1:$C$9,0))),INDEX(_calc!$A$1:$A$9,MATCH(1,_calc!$C$1:$C$9,0))),"")</f>
        <v>15384000</v>
      </c>
      <c r="J5" s="5" t="str">
        <f aca="false">IFERROR(INDEX(Реестр!$A$2:$AI$10,MATCH(1,_calc!$C$1:$C$9,0),MATCH("Метро",Реестр!$A$1:$AI$1,0)),"")</f>
        <v>Китай-город</v>
      </c>
      <c r="K5" s="4" t="n">
        <f aca="false">IFERROR(INDEX(Реестр!$A$2:$AI$10,MATCH(1,_calc!$C$1:$C$9,0),MATCH("Дней до конца приёма",Реестр!$A$1:$AI$1,0)),"")</f>
        <v>20</v>
      </c>
    </row>
    <row r="6" customFormat="false" ht="23.85" hidden="false" customHeight="false" outlineLevel="0" collapsed="false">
      <c r="A6" s="4" t="n">
        <v>2</v>
      </c>
      <c r="B6" s="5" t="str">
        <f aca="false">IFERROR(INDEX(Реестр!$A$2:$AI$10,MATCH(2,_calc!$C$1:$C$9,0),MATCH("Адрес",Реестр!$A$1:$AI$1,0)),"")</f>
        <v>Большая Никитская ул., д. 21/18, стр. 1, этаж 1</v>
      </c>
      <c r="C6" s="5" t="str">
        <f aca="false">IFERROR(INDEX(Реестр!$A$2:$AI$10,MATCH(2,_calc!$C$1:$C$9,0),MATCH("Тип объекта",Реестр!$A$1:$AI$1,0)),"")</f>
        <v>Нежилое помещение</v>
      </c>
      <c r="D6" s="7" t="n">
        <f aca="false">IFERROR(INDEX(Реестр!$A$2:$AI$10,MATCH(2,_calc!$C$1:$C$9,0),MATCH("Площадь, м²",Реестр!$A$1:$AI$1,0)),"")</f>
        <v>13.1</v>
      </c>
      <c r="E6" s="8" t="n">
        <f aca="false">IFERROR(INDEX(Реестр!$A$2:$AI$10,MATCH(2,_calc!$C$1:$C$9,0),MATCH("Начальная цена, ₽",Реестр!$A$1:$AI$1,0)),"")</f>
        <v>17225000</v>
      </c>
      <c r="F6" s="8" t="n">
        <f aca="false">IFERROR(INDEX(Реестр!$A$2:$AI$10,MATCH(2,_calc!$C$1:$C$9,0),MATCH("Цена за м², ₽",Реестр!$A$1:$AI$1,0)),"")</f>
        <v>1314885.49618321</v>
      </c>
      <c r="G6" s="20" t="n">
        <f aca="false">IFERROR(INDEX(Реестр!$A$2:$AI$10,MATCH(2,_calc!$C$1:$C$9,0),MATCH("Приём заявок до",Реестр!$A$1:$AI$1,0)),"")</f>
        <v>46337.625</v>
      </c>
      <c r="H6" s="20" t="n">
        <f aca="false">IFERROR(INDEX(Реестр!$A$2:$AI$10,MATCH(2,_calc!$C$1:$C$9,0),MATCH("Дата торгов",Реестр!$A$1:$AI$1,0)),"")</f>
        <v>46346.4166666667</v>
      </c>
      <c r="I6" s="21" t="n">
        <f aca="false">IFERROR(IF(AND(OR($C$1="Приём заявок до",$C$1="Дата торгов"),ISNUMBER(INDEX(_calc!$A$1:$A$9,MATCH(2,_calc!$C$1:$C$9,0)))),RIGHT("0"&amp;DAY(INDEX(_calc!$A$1:$A$9,MATCH(2,_calc!$C$1:$C$9,0))),2)&amp;"."&amp;RIGHT("0"&amp;MONTH(INDEX(_calc!$A$1:$A$9,MATCH(2,_calc!$C$1:$C$9,0))),2)&amp;"."&amp;YEAR(INDEX(_calc!$A$1:$A$9,MATCH(2,_calc!$C$1:$C$9,0))),INDEX(_calc!$A$1:$A$9,MATCH(2,_calc!$C$1:$C$9,0))),"")</f>
        <v>17225000</v>
      </c>
      <c r="J6" s="5" t="str">
        <f aca="false">IFERROR(INDEX(Реестр!$A$2:$AI$10,MATCH(2,_calc!$C$1:$C$9,0),MATCH("Метро",Реестр!$A$1:$AI$1,0)),"")</f>
        <v>Арбатская</v>
      </c>
      <c r="K6" s="4" t="n">
        <f aca="false">IFERROR(INDEX(Реестр!$A$2:$AI$10,MATCH(2,_calc!$C$1:$C$9,0),MATCH("Дней до конца приёма",Реестр!$A$1:$AI$1,0)),"")</f>
        <v>22</v>
      </c>
    </row>
    <row r="7" customFormat="false" ht="23.85" hidden="false" customHeight="false" outlineLevel="0" collapsed="false">
      <c r="A7" s="4" t="n">
        <v>3</v>
      </c>
      <c r="B7" s="5" t="str">
        <f aca="false">IFERROR(INDEX(Реестр!$A$2:$AI$10,MATCH(3,_calc!$C$1:$C$9,0),MATCH("Адрес",Реестр!$A$1:$AI$1,0)),"")</f>
        <v>ул. Бахрушина, д. 1, стр. 1, этаж 1, помещение 5/1</v>
      </c>
      <c r="C7" s="5" t="str">
        <f aca="false">IFERROR(INDEX(Реестр!$A$2:$AI$10,MATCH(3,_calc!$C$1:$C$9,0),MATCH("Тип объекта",Реестр!$A$1:$AI$1,0)),"")</f>
        <v>Нежилое помещение</v>
      </c>
      <c r="D7" s="7" t="n">
        <f aca="false">IFERROR(INDEX(Реестр!$A$2:$AI$10,MATCH(3,_calc!$C$1:$C$9,0),MATCH("Площадь, м²",Реестр!$A$1:$AI$1,0)),"")</f>
        <v>167.1</v>
      </c>
      <c r="E7" s="8" t="n">
        <f aca="false">IFERROR(INDEX(Реестр!$A$2:$AI$10,MATCH(3,_calc!$C$1:$C$9,0),MATCH("Начальная цена, ₽",Реестр!$A$1:$AI$1,0)),"")</f>
        <v>50797000</v>
      </c>
      <c r="F7" s="8" t="n">
        <f aca="false">IFERROR(INDEX(Реестр!$A$2:$AI$10,MATCH(3,_calc!$C$1:$C$9,0),MATCH("Цена за м², ₽",Реестр!$A$1:$AI$1,0)),"")</f>
        <v>303991.621783363</v>
      </c>
      <c r="G7" s="20" t="n">
        <f aca="false">IFERROR(INDEX(Реестр!$A$2:$AI$10,MATCH(3,_calc!$C$1:$C$9,0),MATCH("Приём заявок до",Реестр!$A$1:$AI$1,0)),"")</f>
        <v>46335.625</v>
      </c>
      <c r="H7" s="20" t="n">
        <f aca="false">IFERROR(INDEX(Реестр!$A$2:$AI$10,MATCH(3,_calc!$C$1:$C$9,0),MATCH("Дата торгов",Реестр!$A$1:$AI$1,0)),"")</f>
        <v>46343.4166666667</v>
      </c>
      <c r="I7" s="21" t="n">
        <f aca="false">IFERROR(IF(AND(OR($C$1="Приём заявок до",$C$1="Дата торгов"),ISNUMBER(INDEX(_calc!$A$1:$A$9,MATCH(3,_calc!$C$1:$C$9,0)))),RIGHT("0"&amp;DAY(INDEX(_calc!$A$1:$A$9,MATCH(3,_calc!$C$1:$C$9,0))),2)&amp;"."&amp;RIGHT("0"&amp;MONTH(INDEX(_calc!$A$1:$A$9,MATCH(3,_calc!$C$1:$C$9,0))),2)&amp;"."&amp;YEAR(INDEX(_calc!$A$1:$A$9,MATCH(3,_calc!$C$1:$C$9,0))),INDEX(_calc!$A$1:$A$9,MATCH(3,_calc!$C$1:$C$9,0))),"")</f>
        <v>50797000</v>
      </c>
      <c r="J7" s="5" t="str">
        <f aca="false">IFERROR(INDEX(Реестр!$A$2:$AI$10,MATCH(3,_calc!$C$1:$C$9,0),MATCH("Метро",Реестр!$A$1:$AI$1,0)),"")</f>
        <v>Павелецкая</v>
      </c>
      <c r="K7" s="4" t="n">
        <f aca="false">IFERROR(INDEX(Реестр!$A$2:$AI$10,MATCH(3,_calc!$C$1:$C$9,0),MATCH("Дней до конца приёма",Реестр!$A$1:$AI$1,0)),"")</f>
        <v>20</v>
      </c>
    </row>
    <row r="8" customFormat="false" ht="23.85" hidden="false" customHeight="false" outlineLevel="0" collapsed="false">
      <c r="A8" s="4" t="n">
        <v>4</v>
      </c>
      <c r="B8" s="5" t="str">
        <f aca="false">IFERROR(INDEX(Реестр!$A$2:$AI$10,MATCH(4,_calc!$C$1:$C$9,0),MATCH("Адрес",Реестр!$A$1:$AI$1,0)),"")</f>
        <v>Большая Сухаревская пл., д. 1/2, стр. 1, помещ. 3/1</v>
      </c>
      <c r="C8" s="5" t="str">
        <f aca="false">IFERROR(INDEX(Реестр!$A$2:$AI$10,MATCH(4,_calc!$C$1:$C$9,0),MATCH("Тип объекта",Реестр!$A$1:$AI$1,0)),"")</f>
        <v>Нежилое помещение</v>
      </c>
      <c r="D8" s="7" t="n">
        <f aca="false">IFERROR(INDEX(Реестр!$A$2:$AI$10,MATCH(4,_calc!$C$1:$C$9,0),MATCH("Площадь, м²",Реестр!$A$1:$AI$1,0)),"")</f>
        <v>315.5</v>
      </c>
      <c r="E8" s="8" t="n">
        <f aca="false">IFERROR(INDEX(Реестр!$A$2:$AI$10,MATCH(4,_calc!$C$1:$C$9,0),MATCH("Начальная цена, ₽",Реестр!$A$1:$AI$1,0)),"")</f>
        <v>112951260</v>
      </c>
      <c r="F8" s="8" t="n">
        <f aca="false">IFERROR(INDEX(Реестр!$A$2:$AI$10,MATCH(4,_calc!$C$1:$C$9,0),MATCH("Цена за м², ₽",Реестр!$A$1:$AI$1,0)),"")</f>
        <v>358007.163232964</v>
      </c>
      <c r="G8" s="20" t="n">
        <f aca="false">IFERROR(INDEX(Реестр!$A$2:$AI$10,MATCH(4,_calc!$C$1:$C$9,0),MATCH("Приём заявок до",Реестр!$A$1:$AI$1,0)),"")</f>
        <v>46369.5833333333</v>
      </c>
      <c r="H8" s="20" t="n">
        <f aca="false">IFERROR(INDEX(Реестр!$A$2:$AI$10,MATCH(4,_calc!$C$1:$C$9,0),MATCH("Дата торгов",Реестр!$A$1:$AI$1,0)),"")</f>
        <v>46373.4583333333</v>
      </c>
      <c r="I8" s="21" t="n">
        <f aca="false">IFERROR(IF(AND(OR($C$1="Приём заявок до",$C$1="Дата торгов"),ISNUMBER(INDEX(_calc!$A$1:$A$9,MATCH(4,_calc!$C$1:$C$9,0)))),RIGHT("0"&amp;DAY(INDEX(_calc!$A$1:$A$9,MATCH(4,_calc!$C$1:$C$9,0))),2)&amp;"."&amp;RIGHT("0"&amp;MONTH(INDEX(_calc!$A$1:$A$9,MATCH(4,_calc!$C$1:$C$9,0))),2)&amp;"."&amp;YEAR(INDEX(_calc!$A$1:$A$9,MATCH(4,_calc!$C$1:$C$9,0))),INDEX(_calc!$A$1:$A$9,MATCH(4,_calc!$C$1:$C$9,0))),"")</f>
        <v>112951260</v>
      </c>
      <c r="J8" s="5" t="str">
        <f aca="false">IFERROR(INDEX(Реестр!$A$2:$AI$10,MATCH(4,_calc!$C$1:$C$9,0),MATCH("Метро",Реестр!$A$1:$AI$1,0)),"")</f>
        <v>Сухаревская</v>
      </c>
      <c r="K8" s="4" t="n">
        <f aca="false">IFERROR(INDEX(Реестр!$A$2:$AI$10,MATCH(4,_calc!$C$1:$C$9,0),MATCH("Дней до конца приёма",Реестр!$A$1:$AI$1,0)),"")</f>
        <v>54</v>
      </c>
    </row>
    <row r="9" customFormat="false" ht="23.85" hidden="false" customHeight="false" outlineLevel="0" collapsed="false">
      <c r="A9" s="4" t="n">
        <v>5</v>
      </c>
      <c r="B9" s="5" t="str">
        <f aca="false">IFERROR(INDEX(Реестр!$A$2:$AI$10,MATCH(5,_calc!$C$1:$C$9,0),MATCH("Адрес",Реестр!$A$1:$AI$1,0)),"")</f>
        <v>Каширское ш., д. 88/26, стр. 2</v>
      </c>
      <c r="C9" s="5" t="str">
        <f aca="false">IFERROR(INDEX(Реестр!$A$2:$AI$10,MATCH(5,_calc!$C$1:$C$9,0),MATCH("Тип объекта",Реестр!$A$1:$AI$1,0)),"")</f>
        <v>Здание + земельный участок</v>
      </c>
      <c r="D9" s="7" t="n">
        <f aca="false">IFERROR(INDEX(Реестр!$A$2:$AI$10,MATCH(5,_calc!$C$1:$C$9,0),MATCH("Площадь, м²",Реестр!$A$1:$AI$1,0)),"")</f>
        <v>898.3</v>
      </c>
      <c r="E9" s="8" t="n">
        <f aca="false">IFERROR(INDEX(Реестр!$A$2:$AI$10,MATCH(5,_calc!$C$1:$C$9,0),MATCH("Начальная цена, ₽",Реестр!$A$1:$AI$1,0)),"")</f>
        <v>158898000</v>
      </c>
      <c r="F9" s="8" t="n">
        <f aca="false">IFERROR(INDEX(Реестр!$A$2:$AI$10,MATCH(5,_calc!$C$1:$C$9,0),MATCH("Цена за м², ₽",Реестр!$A$1:$AI$1,0)),"")</f>
        <v>176887.454079929</v>
      </c>
      <c r="G9" s="20" t="n">
        <f aca="false">IFERROR(INDEX(Реестр!$A$2:$AI$10,MATCH(5,_calc!$C$1:$C$9,0),MATCH("Приём заявок до",Реестр!$A$1:$AI$1,0)),"")</f>
        <v>46335.625</v>
      </c>
      <c r="H9" s="20" t="n">
        <f aca="false">IFERROR(INDEX(Реестр!$A$2:$AI$10,MATCH(5,_calc!$C$1:$C$9,0),MATCH("Дата торгов",Реестр!$A$1:$AI$1,0)),"")</f>
        <v>46343.4166666667</v>
      </c>
      <c r="I9" s="21" t="n">
        <f aca="false">IFERROR(IF(AND(OR($C$1="Приём заявок до",$C$1="Дата торгов"),ISNUMBER(INDEX(_calc!$A$1:$A$9,MATCH(5,_calc!$C$1:$C$9,0)))),RIGHT("0"&amp;DAY(INDEX(_calc!$A$1:$A$9,MATCH(5,_calc!$C$1:$C$9,0))),2)&amp;"."&amp;RIGHT("0"&amp;MONTH(INDEX(_calc!$A$1:$A$9,MATCH(5,_calc!$C$1:$C$9,0))),2)&amp;"."&amp;YEAR(INDEX(_calc!$A$1:$A$9,MATCH(5,_calc!$C$1:$C$9,0))),INDEX(_calc!$A$1:$A$9,MATCH(5,_calc!$C$1:$C$9,0))),"")</f>
        <v>158898000</v>
      </c>
      <c r="J9" s="5" t="str">
        <f aca="false">IFERROR(INDEX(Реестр!$A$2:$AI$10,MATCH(5,_calc!$C$1:$C$9,0),MATCH("Метро",Реестр!$A$1:$AI$1,0)),"")</f>
        <v>Домодедовская</v>
      </c>
      <c r="K9" s="4" t="n">
        <f aca="false">IFERROR(INDEX(Реестр!$A$2:$AI$10,MATCH(5,_calc!$C$1:$C$9,0),MATCH("Дней до конца приёма",Реестр!$A$1:$AI$1,0)),"")</f>
        <v>20</v>
      </c>
    </row>
    <row r="10" customFormat="false" ht="23.85" hidden="false" customHeight="false" outlineLevel="0" collapsed="false">
      <c r="A10" s="4" t="n">
        <v>6</v>
      </c>
      <c r="B10" s="5" t="str">
        <f aca="false">IFERROR(INDEX(Реестр!$A$2:$AI$10,MATCH(6,_calc!$C$1:$C$9,0),MATCH("Адрес",Реестр!$A$1:$AI$1,0)),"")</f>
        <v>Неглинная ул., д. 18/1, стр. 2</v>
      </c>
      <c r="C10" s="5" t="str">
        <f aca="false">IFERROR(INDEX(Реестр!$A$2:$AI$10,MATCH(6,_calc!$C$1:$C$9,0),MATCH("Тип объекта",Реестр!$A$1:$AI$1,0)),"")</f>
        <v>Здание + земельный участок</v>
      </c>
      <c r="D10" s="7" t="n">
        <f aca="false">IFERROR(INDEX(Реестр!$A$2:$AI$10,MATCH(6,_calc!$C$1:$C$9,0),MATCH("Площадь, м²",Реестр!$A$1:$AI$1,0)),"")</f>
        <v>634.4</v>
      </c>
      <c r="E10" s="8" t="n">
        <f aca="false">IFERROR(INDEX(Реестр!$A$2:$AI$10,MATCH(6,_calc!$C$1:$C$9,0),MATCH("Начальная цена, ₽",Реестр!$A$1:$AI$1,0)),"")</f>
        <v>195014000</v>
      </c>
      <c r="F10" s="8" t="n">
        <f aca="false">IFERROR(INDEX(Реестр!$A$2:$AI$10,MATCH(6,_calc!$C$1:$C$9,0),MATCH("Цена за м², ₽",Реестр!$A$1:$AI$1,0)),"")</f>
        <v>307399.117276166</v>
      </c>
      <c r="G10" s="20" t="n">
        <f aca="false">IFERROR(INDEX(Реестр!$A$2:$AI$10,MATCH(6,_calc!$C$1:$C$9,0),MATCH("Приём заявок до",Реестр!$A$1:$AI$1,0)),"")</f>
        <v>46335.625</v>
      </c>
      <c r="H10" s="20" t="n">
        <f aca="false">IFERROR(INDEX(Реестр!$A$2:$AI$10,MATCH(6,_calc!$C$1:$C$9,0),MATCH("Дата торгов",Реестр!$A$1:$AI$1,0)),"")</f>
        <v>46343.4166666667</v>
      </c>
      <c r="I10" s="21" t="n">
        <f aca="false">IFERROR(IF(AND(OR($C$1="Приём заявок до",$C$1="Дата торгов"),ISNUMBER(INDEX(_calc!$A$1:$A$9,MATCH(6,_calc!$C$1:$C$9,0)))),RIGHT("0"&amp;DAY(INDEX(_calc!$A$1:$A$9,MATCH(6,_calc!$C$1:$C$9,0))),2)&amp;"."&amp;RIGHT("0"&amp;MONTH(INDEX(_calc!$A$1:$A$9,MATCH(6,_calc!$C$1:$C$9,0))),2)&amp;"."&amp;YEAR(INDEX(_calc!$A$1:$A$9,MATCH(6,_calc!$C$1:$C$9,0))),INDEX(_calc!$A$1:$A$9,MATCH(6,_calc!$C$1:$C$9,0))),"")</f>
        <v>195014000</v>
      </c>
      <c r="J10" s="5" t="str">
        <f aca="false">IFERROR(INDEX(Реестр!$A$2:$AI$10,MATCH(6,_calc!$C$1:$C$9,0),MATCH("Метро",Реестр!$A$1:$AI$1,0)),"")</f>
        <v>Трубная</v>
      </c>
      <c r="K10" s="4" t="n">
        <f aca="false">IFERROR(INDEX(Реестр!$A$2:$AI$10,MATCH(6,_calc!$C$1:$C$9,0),MATCH("Дней до конца приёма",Реестр!$A$1:$AI$1,0)),"")</f>
        <v>20</v>
      </c>
    </row>
    <row r="11" customFormat="false" ht="15" hidden="false" customHeight="false" outlineLevel="0" collapsed="false">
      <c r="A11" s="4" t="n">
        <v>7</v>
      </c>
      <c r="B11" s="5" t="str">
        <f aca="false">IFERROR(INDEX(Реестр!$A$2:$AI$10,MATCH(7,_calc!$C$1:$C$9,0),MATCH("Адрес",Реестр!$A$1:$AI$1,0)),"")</f>
        <v>ул. Покровка, д. 19, этаж 1</v>
      </c>
      <c r="C11" s="5" t="str">
        <f aca="false">IFERROR(INDEX(Реестр!$A$2:$AI$10,MATCH(7,_calc!$C$1:$C$9,0),MATCH("Тип объекта",Реестр!$A$1:$AI$1,0)),"")</f>
        <v>Нежилое помещение</v>
      </c>
      <c r="D11" s="7" t="n">
        <f aca="false">IFERROR(INDEX(Реестр!$A$2:$AI$10,MATCH(7,_calc!$C$1:$C$9,0),MATCH("Площадь, м²",Реестр!$A$1:$AI$1,0)),"")</f>
        <v>431.2</v>
      </c>
      <c r="E11" s="8" t="n">
        <f aca="false">IFERROR(INDEX(Реестр!$A$2:$AI$10,MATCH(7,_calc!$C$1:$C$9,0),MATCH("Начальная цена, ₽",Реестр!$A$1:$AI$1,0)),"")</f>
        <v>239527000</v>
      </c>
      <c r="F11" s="8" t="n">
        <f aca="false">IFERROR(INDEX(Реестр!$A$2:$AI$10,MATCH(7,_calc!$C$1:$C$9,0),MATCH("Цена за м², ₽",Реестр!$A$1:$AI$1,0)),"")</f>
        <v>555489.332096475</v>
      </c>
      <c r="G11" s="20" t="n">
        <f aca="false">IFERROR(INDEX(Реестр!$A$2:$AI$10,MATCH(7,_calc!$C$1:$C$9,0),MATCH("Приём заявок до",Реестр!$A$1:$AI$1,0)),"")</f>
        <v>46342.625</v>
      </c>
      <c r="H11" s="20" t="n">
        <f aca="false">IFERROR(INDEX(Реестр!$A$2:$AI$10,MATCH(7,_calc!$C$1:$C$9,0),MATCH("Дата торгов",Реестр!$A$1:$AI$1,0)),"")</f>
        <v>46350.4166666667</v>
      </c>
      <c r="I11" s="21" t="n">
        <f aca="false">IFERROR(IF(AND(OR($C$1="Приём заявок до",$C$1="Дата торгов"),ISNUMBER(INDEX(_calc!$A$1:$A$9,MATCH(7,_calc!$C$1:$C$9,0)))),RIGHT("0"&amp;DAY(INDEX(_calc!$A$1:$A$9,MATCH(7,_calc!$C$1:$C$9,0))),2)&amp;"."&amp;RIGHT("0"&amp;MONTH(INDEX(_calc!$A$1:$A$9,MATCH(7,_calc!$C$1:$C$9,0))),2)&amp;"."&amp;YEAR(INDEX(_calc!$A$1:$A$9,MATCH(7,_calc!$C$1:$C$9,0))),INDEX(_calc!$A$1:$A$9,MATCH(7,_calc!$C$1:$C$9,0))),"")</f>
        <v>239527000</v>
      </c>
      <c r="J11" s="5" t="str">
        <f aca="false">IFERROR(INDEX(Реестр!$A$2:$AI$10,MATCH(7,_calc!$C$1:$C$9,0),MATCH("Метро",Реестр!$A$1:$AI$1,0)),"")</f>
        <v>Чистые пруды</v>
      </c>
      <c r="K11" s="4" t="n">
        <f aca="false">IFERROR(INDEX(Реестр!$A$2:$AI$10,MATCH(7,_calc!$C$1:$C$9,0),MATCH("Дней до конца приёма",Реестр!$A$1:$AI$1,0)),"")</f>
        <v>27</v>
      </c>
    </row>
    <row r="12" customFormat="false" ht="15" hidden="false" customHeight="false" outlineLevel="0" collapsed="false">
      <c r="A12" s="4" t="n">
        <v>8</v>
      </c>
      <c r="B12" s="5" t="str">
        <f aca="false">IFERROR(INDEX(Реестр!$A$2:$AI$10,MATCH(8,_calc!$C$1:$C$9,0),MATCH("Адрес",Реестр!$A$1:$AI$1,0)),"")</f>
        <v>Пятницкая ул., д. 15</v>
      </c>
      <c r="C12" s="5" t="str">
        <f aca="false">IFERROR(INDEX(Реестр!$A$2:$AI$10,MATCH(8,_calc!$C$1:$C$9,0),MATCH("Тип объекта",Реестр!$A$1:$AI$1,0)),"")</f>
        <v>Здание</v>
      </c>
      <c r="D12" s="7" t="n">
        <f aca="false">IFERROR(INDEX(Реестр!$A$2:$AI$10,MATCH(8,_calc!$C$1:$C$9,0),MATCH("Площадь, м²",Реестр!$A$1:$AI$1,0)),"")</f>
        <v>1030.1</v>
      </c>
      <c r="E12" s="8" t="n">
        <f aca="false">IFERROR(INDEX(Реестр!$A$2:$AI$10,MATCH(8,_calc!$C$1:$C$9,0),MATCH("Начальная цена, ₽",Реестр!$A$1:$AI$1,0)),"")</f>
        <v>263000000</v>
      </c>
      <c r="F12" s="8" t="n">
        <f aca="false">IFERROR(INDEX(Реестр!$A$2:$AI$10,MATCH(8,_calc!$C$1:$C$9,0),MATCH("Цена за м², ₽",Реестр!$A$1:$AI$1,0)),"")</f>
        <v>255315.017959421</v>
      </c>
      <c r="G12" s="20" t="n">
        <f aca="false">IFERROR(INDEX(Реестр!$A$2:$AI$10,MATCH(8,_calc!$C$1:$C$9,0),MATCH("Приём заявок до",Реестр!$A$1:$AI$1,0)),"")</f>
        <v>46339.625</v>
      </c>
      <c r="H12" s="20" t="n">
        <f aca="false">IFERROR(INDEX(Реестр!$A$2:$AI$10,MATCH(8,_calc!$C$1:$C$9,0),MATCH("Дата торгов",Реестр!$A$1:$AI$1,0)),"")</f>
        <v>46346.4166666667</v>
      </c>
      <c r="I12" s="21" t="n">
        <f aca="false">IFERROR(IF(AND(OR($C$1="Приём заявок до",$C$1="Дата торгов"),ISNUMBER(INDEX(_calc!$A$1:$A$9,MATCH(8,_calc!$C$1:$C$9,0)))),RIGHT("0"&amp;DAY(INDEX(_calc!$A$1:$A$9,MATCH(8,_calc!$C$1:$C$9,0))),2)&amp;"."&amp;RIGHT("0"&amp;MONTH(INDEX(_calc!$A$1:$A$9,MATCH(8,_calc!$C$1:$C$9,0))),2)&amp;"."&amp;YEAR(INDEX(_calc!$A$1:$A$9,MATCH(8,_calc!$C$1:$C$9,0))),INDEX(_calc!$A$1:$A$9,MATCH(8,_calc!$C$1:$C$9,0))),"")</f>
        <v>263000000</v>
      </c>
      <c r="J12" s="5" t="str">
        <f aca="false">IFERROR(INDEX(Реестр!$A$2:$AI$10,MATCH(8,_calc!$C$1:$C$9,0),MATCH("Метро",Реестр!$A$1:$AI$1,0)),"")</f>
        <v>Новокузнецкая</v>
      </c>
      <c r="K12" s="4" t="n">
        <f aca="false">IFERROR(INDEX(Реестр!$A$2:$AI$10,MATCH(8,_calc!$C$1:$C$9,0),MATCH("Дней до конца приёма",Реестр!$A$1:$AI$1,0)),"")</f>
        <v>24</v>
      </c>
    </row>
    <row r="13" customFormat="false" ht="23.85" hidden="false" customHeight="false" outlineLevel="0" collapsed="false">
      <c r="A13" s="4" t="n">
        <v>9</v>
      </c>
      <c r="B13" s="5" t="str">
        <f aca="false">IFERROR(INDEX(Реестр!$A$2:$AI$10,MATCH(9,_calc!$C$1:$C$9,0),MATCH("Адрес",Реестр!$A$1:$AI$1,0)),"")</f>
        <v>Краснопрудная ул., д. 3Б (земельный участок 3/5/1), здание Ярославского ПЖДП</v>
      </c>
      <c r="C13" s="5" t="str">
        <f aca="false">IFERROR(INDEX(Реестр!$A$2:$AI$10,MATCH(9,_calc!$C$1:$C$9,0),MATCH("Тип объекта",Реестр!$A$1:$AI$1,0)),"")</f>
        <v>Здание + земельный участок</v>
      </c>
      <c r="D13" s="7" t="n">
        <f aca="false">IFERROR(INDEX(Реестр!$A$2:$AI$10,MATCH(9,_calc!$C$1:$C$9,0),MATCH("Площадь, м²",Реестр!$A$1:$AI$1,0)),"")</f>
        <v>1259.3</v>
      </c>
      <c r="E13" s="8" t="n">
        <f aca="false">IFERROR(INDEX(Реестр!$A$2:$AI$10,MATCH(9,_calc!$C$1:$C$9,0),MATCH("Начальная цена, ₽",Реестр!$A$1:$AI$1,0)),"")</f>
        <v>289558721</v>
      </c>
      <c r="F13" s="8" t="n">
        <f aca="false">IFERROR(INDEX(Реестр!$A$2:$AI$10,MATCH(9,_calc!$C$1:$C$9,0),MATCH("Цена за м², ₽",Реестр!$A$1:$AI$1,0)),"")</f>
        <v>229936.251091876</v>
      </c>
      <c r="G13" s="20" t="n">
        <f aca="false">IFERROR(INDEX(Реестр!$A$2:$AI$10,MATCH(9,_calc!$C$1:$C$9,0),MATCH("Приём заявок до",Реестр!$A$1:$AI$1,0)),"")</f>
        <v>46351.9993055556</v>
      </c>
      <c r="H13" s="20" t="n">
        <f aca="false">IFERROR(INDEX(Реестр!$A$2:$AI$10,MATCH(9,_calc!$C$1:$C$9,0),MATCH("Дата торгов",Реестр!$A$1:$AI$1,0)),"")</f>
        <v>46356.4583333333</v>
      </c>
      <c r="I13" s="21" t="n">
        <f aca="false">IFERROR(IF(AND(OR($C$1="Приём заявок до",$C$1="Дата торгов"),ISNUMBER(INDEX(_calc!$A$1:$A$9,MATCH(9,_calc!$C$1:$C$9,0)))),RIGHT("0"&amp;DAY(INDEX(_calc!$A$1:$A$9,MATCH(9,_calc!$C$1:$C$9,0))),2)&amp;"."&amp;RIGHT("0"&amp;MONTH(INDEX(_calc!$A$1:$A$9,MATCH(9,_calc!$C$1:$C$9,0))),2)&amp;"."&amp;YEAR(INDEX(_calc!$A$1:$A$9,MATCH(9,_calc!$C$1:$C$9,0))),INDEX(_calc!$A$1:$A$9,MATCH(9,_calc!$C$1:$C$9,0))),"")</f>
        <v>289558721</v>
      </c>
      <c r="J13" s="5" t="str">
        <f aca="false">IFERROR(INDEX(Реестр!$A$2:$AI$10,MATCH(9,_calc!$C$1:$C$9,0),MATCH("Метро",Реестр!$A$1:$AI$1,0)),"")</f>
        <v>Красносельская</v>
      </c>
      <c r="K13" s="4" t="n">
        <f aca="false">IFERROR(INDEX(Реестр!$A$2:$AI$10,MATCH(9,_calc!$C$1:$C$9,0),MATCH("Дней до конца приёма",Реестр!$A$1:$AI$1,0)),"")</f>
        <v>36</v>
      </c>
    </row>
  </sheetData>
  <mergeCells count="4">
    <mergeCell ref="A1:B1"/>
    <mergeCell ref="C1:E1"/>
    <mergeCell ref="A2:B2"/>
    <mergeCell ref="C2:E2"/>
  </mergeCells>
  <dataValidations count="2">
    <dataValidation allowBlank="false" errorStyle="stop" operator="between" showDropDown="false" showErrorMessage="false" showInputMessage="false" sqref="C1" type="list">
      <formula1>_calc!$D$1:$D$10</formula1>
      <formula2>0</formula2>
    </dataValidation>
    <dataValidation allowBlank="false" errorStyle="stop" operator="between" showDropDown="false" showErrorMessage="false" showInputMessage="false" sqref="C2" type="list">
      <formula1>_calc!$E$1:$E$2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2" t="n">
        <f aca="false">INDEX(Реестр!$A$2:$AI$10,1,MATCH(Сортировка!$C$1,Реестр!$A$1:$AI$1,0))</f>
        <v>15384000</v>
      </c>
      <c r="B1" s="22" t="n">
        <f aca="false">IF(ISNUMBER(A1),IF(Сортировка!$C$2="По убыванию",-A1,A1),1E+300)</f>
        <v>15384000</v>
      </c>
      <c r="C1" s="0" t="n">
        <f aca="false">COUNTIF($B$1:$B$9,"&lt;"&amp;B1)+COUNTIF($B$1:B1,B1)</f>
        <v>1</v>
      </c>
      <c r="D1" s="0" t="s">
        <v>18</v>
      </c>
      <c r="E1" s="0" t="s">
        <v>111</v>
      </c>
    </row>
    <row r="2" customFormat="false" ht="15" hidden="false" customHeight="false" outlineLevel="0" collapsed="false">
      <c r="A2" s="22" t="n">
        <f aca="false">INDEX(Реестр!$A$2:$AI$10,2,MATCH(Сортировка!$C$1,Реестр!$A$1:$AI$1,0))</f>
        <v>17225000</v>
      </c>
      <c r="B2" s="22" t="n">
        <f aca="false">IF(ISNUMBER(A2),IF(Сортировка!$C$2="По убыванию",-A2,A2),1E+300)</f>
        <v>17225000</v>
      </c>
      <c r="C2" s="0" t="n">
        <f aca="false">COUNTIF($B$1:$B$9,"&lt;"&amp;B2)+COUNTIF($B$1:B2,B2)</f>
        <v>2</v>
      </c>
      <c r="D2" s="0" t="s">
        <v>19</v>
      </c>
      <c r="E2" s="0" t="s">
        <v>114</v>
      </c>
    </row>
    <row r="3" customFormat="false" ht="15" hidden="false" customHeight="false" outlineLevel="0" collapsed="false">
      <c r="A3" s="22" t="n">
        <f aca="false">INDEX(Реестр!$A$2:$AI$10,3,MATCH(Сортировка!$C$1,Реестр!$A$1:$AI$1,0))</f>
        <v>50797000</v>
      </c>
      <c r="B3" s="22" t="n">
        <f aca="false">IF(ISNUMBER(A3),IF(Сортировка!$C$2="По убыванию",-A3,A3),1E+300)</f>
        <v>50797000</v>
      </c>
      <c r="C3" s="0" t="n">
        <f aca="false">COUNTIF($B$1:$B$9,"&lt;"&amp;B3)+COUNTIF($B$1:B3,B3)</f>
        <v>3</v>
      </c>
      <c r="D3" s="0" t="s">
        <v>7</v>
      </c>
    </row>
    <row r="4" customFormat="false" ht="15" hidden="false" customHeight="false" outlineLevel="0" collapsed="false">
      <c r="A4" s="22" t="n">
        <f aca="false">INDEX(Реестр!$A$2:$AI$10,4,MATCH(Сортировка!$C$1,Реестр!$A$1:$AI$1,0))</f>
        <v>112951260</v>
      </c>
      <c r="B4" s="22" t="n">
        <f aca="false">IF(ISNUMBER(A4),IF(Сортировка!$C$2="По убыванию",-A4,A4),1E+300)</f>
        <v>112951260</v>
      </c>
      <c r="C4" s="0" t="n">
        <f aca="false">COUNTIF($B$1:$B$9,"&lt;"&amp;B4)+COUNTIF($B$1:B4,B4)</f>
        <v>4</v>
      </c>
      <c r="D4" s="0" t="s">
        <v>20</v>
      </c>
    </row>
    <row r="5" customFormat="false" ht="15" hidden="false" customHeight="false" outlineLevel="0" collapsed="false">
      <c r="A5" s="22" t="n">
        <f aca="false">INDEX(Реестр!$A$2:$AI$10,5,MATCH(Сортировка!$C$1,Реестр!$A$1:$AI$1,0))</f>
        <v>158898000</v>
      </c>
      <c r="B5" s="22" t="n">
        <f aca="false">IF(ISNUMBER(A5),IF(Сортировка!$C$2="По убыванию",-A5,A5),1E+300)</f>
        <v>158898000</v>
      </c>
      <c r="C5" s="0" t="n">
        <f aca="false">COUNTIF($B$1:$B$9,"&lt;"&amp;B5)+COUNTIF($B$1:B5,B5)</f>
        <v>5</v>
      </c>
      <c r="D5" s="0" t="s">
        <v>21</v>
      </c>
    </row>
    <row r="6" customFormat="false" ht="15" hidden="false" customHeight="false" outlineLevel="0" collapsed="false">
      <c r="A6" s="22" t="n">
        <f aca="false">INDEX(Реестр!$A$2:$AI$10,6,MATCH(Сортировка!$C$1,Реестр!$A$1:$AI$1,0))</f>
        <v>195014000</v>
      </c>
      <c r="B6" s="22" t="n">
        <f aca="false">IF(ISNUMBER(A6),IF(Сортировка!$C$2="По убыванию",-A6,A6),1E+300)</f>
        <v>195014000</v>
      </c>
      <c r="C6" s="0" t="n">
        <f aca="false">COUNTIF($B$1:$B$9,"&lt;"&amp;B6)+COUNTIF($B$1:B6,B6)</f>
        <v>6</v>
      </c>
      <c r="D6" s="0" t="s">
        <v>24</v>
      </c>
    </row>
    <row r="7" customFormat="false" ht="15" hidden="false" customHeight="false" outlineLevel="0" collapsed="false">
      <c r="A7" s="22" t="n">
        <f aca="false">INDEX(Реестр!$A$2:$AI$10,7,MATCH(Сортировка!$C$1,Реестр!$A$1:$AI$1,0))</f>
        <v>239527000</v>
      </c>
      <c r="B7" s="22" t="n">
        <f aca="false">IF(ISNUMBER(A7),IF(Сортировка!$C$2="По убыванию",-A7,A7),1E+300)</f>
        <v>239527000</v>
      </c>
      <c r="C7" s="0" t="n">
        <f aca="false">COUNTIF($B$1:$B$9,"&lt;"&amp;B7)+COUNTIF($B$1:B7,B7)</f>
        <v>7</v>
      </c>
      <c r="D7" s="0" t="s">
        <v>27</v>
      </c>
    </row>
    <row r="8" customFormat="false" ht="15" hidden="false" customHeight="false" outlineLevel="0" collapsed="false">
      <c r="A8" s="22" t="n">
        <f aca="false">INDEX(Реестр!$A$2:$AI$10,8,MATCH(Сортировка!$C$1,Реестр!$A$1:$AI$1,0))</f>
        <v>263000000</v>
      </c>
      <c r="B8" s="22" t="n">
        <f aca="false">IF(ISNUMBER(A8),IF(Сортировка!$C$2="По убыванию",-A8,A8),1E+300)</f>
        <v>263000000</v>
      </c>
      <c r="C8" s="0" t="n">
        <f aca="false">COUNTIF($B$1:$B$9,"&lt;"&amp;B8)+COUNTIF($B$1:B8,B8)</f>
        <v>8</v>
      </c>
      <c r="D8" s="0" t="s">
        <v>25</v>
      </c>
    </row>
    <row r="9" customFormat="false" ht="15" hidden="false" customHeight="false" outlineLevel="0" collapsed="false">
      <c r="A9" s="22" t="n">
        <f aca="false">INDEX(Реестр!$A$2:$AI$10,9,MATCH(Сортировка!$C$1,Реестр!$A$1:$AI$1,0))</f>
        <v>289558721</v>
      </c>
      <c r="B9" s="22" t="n">
        <f aca="false">IF(ISNUMBER(A9),IF(Сортировка!$C$2="По убыванию",-A9,A9),1E+300)</f>
        <v>289558721</v>
      </c>
      <c r="C9" s="0" t="n">
        <f aca="false">COUNTIF($B$1:$B$9,"&lt;"&amp;B9)+COUNTIF($B$1:B9,B9)</f>
        <v>9</v>
      </c>
      <c r="D9" s="0" t="s">
        <v>6</v>
      </c>
    </row>
    <row r="10" customFormat="false" ht="15" hidden="false" customHeight="false" outlineLevel="0" collapsed="false">
      <c r="D10" s="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2026-10-20T13:43:29Z</dcterms:created>
  <dc:creator>openpyxl</dc:creator>
  <dc:description/>
  <dc:language>en-US</dc:language>
  <cp:lastModifiedBy/>
  <dcterms:modified xsi:type="dcterms:W3CDTF">2026-10-20T13:43:29Z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