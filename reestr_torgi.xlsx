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" sheetId="1" state="visible" r:id="rId3"/>
  </sheets>
  <definedNames>
    <definedName function="false" hidden="true" localSheetId="0" name="_xlnm._FilterDatabase" vbProcedure="false">Реестр!$A$4:$AJ$13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6" authorId="0">
      <text>
        <r>
          <rPr>
            <sz val="10"/>
            <rFont val="Arial"/>
            <family val="2"/>
          </rPr>
          <t xml:space="preserve">Площадь 315,5 м² взята из объявления Абсолют Банка на ЦИАН (та же цена — 112,95 млн ₽, с НДС 22%). На странице roseltorg площадь не указана — она есть только в аукционной документации (.doc).</t>
        </r>
      </text>
    </comment>
  </commentList>
</comments>
</file>

<file path=xl/sharedStrings.xml><?xml version="1.0" encoding="utf-8"?>
<sst xmlns="http://schemas.openxmlformats.org/spreadsheetml/2006/main" count="257" uniqueCount="155">
  <si>
    <t xml:space="preserve">Реестр объектов торгов, Москва (investmoscow.ru / roseltorg.ru)</t>
  </si>
  <si>
    <t xml:space="preserve">Собрано 20.10.2026: карточки investmoscow.ru (блок «О процедуре»), процедуры roseltorg.ru, извещение torgi.gov.ru. Время московское.</t>
  </si>
  <si>
    <t xml:space="preserve">№</t>
  </si>
  <si>
    <t xml:space="preserve">Площадка</t>
  </si>
  <si>
    <t xml:space="preserve">Ссылка</t>
  </si>
  <si>
    <t xml:space="preserve">ID торгов</t>
  </si>
  <si>
    <t xml:space="preserve">№ объекта (ГП)</t>
  </si>
  <si>
    <t xml:space="preserve">Тип объекта</t>
  </si>
  <si>
    <t xml:space="preserve">Сделка</t>
  </si>
  <si>
    <t xml:space="preserve">Округ</t>
  </si>
  <si>
    <t xml:space="preserve">Район</t>
  </si>
  <si>
    <t xml:space="preserve">Адрес</t>
  </si>
  <si>
    <t xml:space="preserve">Метро</t>
  </si>
  <si>
    <t xml:space="preserve">До метро, мин пешком</t>
  </si>
  <si>
    <t xml:space="preserve">Площадь объекта, м²</t>
  </si>
  <si>
    <t xml:space="preserve">Площадь ЗУ, м²</t>
  </si>
  <si>
    <t xml:space="preserve">Этаж</t>
  </si>
  <si>
    <t xml:space="preserve">Этажность здания</t>
  </si>
  <si>
    <t xml:space="preserve">Начальная цена, ₽</t>
  </si>
  <si>
    <t xml:space="preserve">Цена за м², ₽</t>
  </si>
  <si>
    <t xml:space="preserve">Задаток, ₽</t>
  </si>
  <si>
    <t xml:space="preserve">Шаг аукциона, ₽</t>
  </si>
  <si>
    <t xml:space="preserve">Форма торгов</t>
  </si>
  <si>
    <t xml:space="preserve">Процедура на ЭТП</t>
  </si>
  <si>
    <t xml:space="preserve">torgi.gov.ru</t>
  </si>
  <si>
    <t xml:space="preserve">Кадастровый № объекта</t>
  </si>
  <si>
    <t xml:space="preserve">Кадастровый № ЗУ</t>
  </si>
  <si>
    <t xml:space="preserve">Назначение</t>
  </si>
  <si>
    <t xml:space="preserve">Вход</t>
  </si>
  <si>
    <t xml:space="preserve">Арендатор</t>
  </si>
  <si>
    <t xml:space="preserve">Обременения</t>
  </si>
  <si>
    <t xml:space="preserve">ОКН</t>
  </si>
  <si>
    <t xml:space="preserve">Приём заявок с (МСК)</t>
  </si>
  <si>
    <t xml:space="preserve">Приём заявок до (МСК)</t>
  </si>
  <si>
    <t xml:space="preserve">Отбор участников (МСК)</t>
  </si>
  <si>
    <t xml:space="preserve">Проведение торгов (МСК)</t>
  </si>
  <si>
    <t xml:space="preserve">Подведение итогов (МСК)</t>
  </si>
  <si>
    <t xml:space="preserve">Примечание</t>
  </si>
  <si>
    <t xml:space="preserve">roseltorg.ru</t>
  </si>
  <si>
    <t xml:space="preserve">открыть</t>
  </si>
  <si>
    <t xml:space="preserve">21000003370000000430</t>
  </si>
  <si>
    <t xml:space="preserve">Здание + земельный участок</t>
  </si>
  <si>
    <t xml:space="preserve">Продажа</t>
  </si>
  <si>
    <t xml:space="preserve">ЦАО</t>
  </si>
  <si>
    <t xml:space="preserve">Красносельский</t>
  </si>
  <si>
    <t xml:space="preserve">Краснопрудная ул., д. 3Б (земельный участок 3/5/1), здание Ярославского ПЖДП</t>
  </si>
  <si>
    <t xml:space="preserve">Красносельская</t>
  </si>
  <si>
    <t xml:space="preserve">Электронный аукцион на повышение (178-ФЗ)</t>
  </si>
  <si>
    <t xml:space="preserve">roseltorg</t>
  </si>
  <si>
    <t xml:space="preserve">извещение</t>
  </si>
  <si>
    <t xml:space="preserve">77:01:0003036:1085</t>
  </si>
  <si>
    <t xml:space="preserve">77:01:0003036:4449</t>
  </si>
  <si>
    <t xml:space="preserve">Услуги связи (ВРИ участка 3.2.3)</t>
  </si>
  <si>
    <t xml:space="preserve">По выписке ЕГРН</t>
  </si>
  <si>
    <t xml:space="preserve">16.10.2026 20:00</t>
  </si>
  <si>
    <t xml:space="preserve">25.11.2026 23:59</t>
  </si>
  <si>
    <t xml:space="preserve">до 27.11.2026 23:59</t>
  </si>
  <si>
    <t xml:space="preserve">30.11.2026 11:00</t>
  </si>
  <si>
    <t xml:space="preserve">Продавец — АО «Почта России», организатор — АО ИФК «Солид». Продаётся единым лотом: здание 1 259,3 м² и участок 621 ± 9 м² (общая площадь 1 880,3 м²). Задаток 20%. Цена, задаток и шаг указаны в извещении torgi.gov.ru (данные взяты с зеркала torgi-ru.com, лот 8152317).</t>
  </si>
  <si>
    <t xml:space="preserve">roseltorg.ru (com)</t>
  </si>
  <si>
    <t xml:space="preserve">COM13102600087</t>
  </si>
  <si>
    <t xml:space="preserve">Нежилое помещение</t>
  </si>
  <si>
    <t xml:space="preserve">Мещанский</t>
  </si>
  <si>
    <t xml:space="preserve">Большая Сухаревская пл., д. 1/2, стр. 1, помещ. 3/1</t>
  </si>
  <si>
    <t xml:space="preserve">Сухаревская</t>
  </si>
  <si>
    <t xml:space="preserve">Подвал, 1 этаж, антресоль</t>
  </si>
  <si>
    <t xml:space="preserve">Аукцион на повышение (коммерческая процедура)</t>
  </si>
  <si>
    <t xml:space="preserve">13.10.2026 14:00</t>
  </si>
  <si>
    <t xml:space="preserve">13.12.2026 14:00</t>
  </si>
  <si>
    <t xml:space="preserve">16.12.2026 15:00</t>
  </si>
  <si>
    <t xml:space="preserve">17.12.2026 11:00</t>
  </si>
  <si>
    <t xml:space="preserve">Продавец и организатор — АКБ «Абсолют Банк» (ПАО). Задаток — обеспечение заявки 10%. Шаг аукциона на странице не указан (он в аукционной документации). Цена с НДС 22%. Первая линия Садового кольца, 20 м от выхода метро.</t>
  </si>
  <si>
    <t xml:space="preserve">investmoscow.ru</t>
  </si>
  <si>
    <t xml:space="preserve">20198280</t>
  </si>
  <si>
    <t xml:space="preserve">17003139</t>
  </si>
  <si>
    <t xml:space="preserve">Басманный</t>
  </si>
  <si>
    <t xml:space="preserve">Малый Златоустинский пер., д. 8, стр. 1, этаж 1</t>
  </si>
  <si>
    <t xml:space="preserve">Китай-город</t>
  </si>
  <si>
    <t xml:space="preserve">1</t>
  </si>
  <si>
    <t xml:space="preserve">Открытый аукцион в электронной форме</t>
  </si>
  <si>
    <t xml:space="preserve">77:01:0001033:2521</t>
  </si>
  <si>
    <t xml:space="preserve">Свободное</t>
  </si>
  <si>
    <t xml:space="preserve">Через места общего пользования</t>
  </si>
  <si>
    <t xml:space="preserve">Нет</t>
  </si>
  <si>
    <t xml:space="preserve">14.09.2026 20:00</t>
  </si>
  <si>
    <t xml:space="preserve">09.11.2026 15:00</t>
  </si>
  <si>
    <t xml:space="preserve">16.11.2026 10:00</t>
  </si>
  <si>
    <t xml:space="preserve">18.11.2026 10:00</t>
  </si>
  <si>
    <t xml:space="preserve">18.11.2026 17:00</t>
  </si>
  <si>
    <t xml:space="preserve">Район указан по адресному справочнику (в карточке не указан).</t>
  </si>
  <si>
    <t xml:space="preserve">20212872</t>
  </si>
  <si>
    <t xml:space="preserve">17008020</t>
  </si>
  <si>
    <t xml:space="preserve">ул. Покровка, д. 19, этаж 1</t>
  </si>
  <si>
    <t xml:space="preserve">Чистые пруды</t>
  </si>
  <si>
    <t xml:space="preserve">77:01:0001029:4191</t>
  </si>
  <si>
    <t xml:space="preserve">Через подъезд, отдельный</t>
  </si>
  <si>
    <t xml:space="preserve">Да</t>
  </si>
  <si>
    <t xml:space="preserve">13.10.2026 20:00</t>
  </si>
  <si>
    <t xml:space="preserve">16.11.2026 15:00</t>
  </si>
  <si>
    <t xml:space="preserve">19.11.2026 10:00</t>
  </si>
  <si>
    <t xml:space="preserve">24.11.2026 10:00</t>
  </si>
  <si>
    <t xml:space="preserve">24.11.2026 17:00</t>
  </si>
  <si>
    <t xml:space="preserve">Объект культурного наследия.</t>
  </si>
  <si>
    <t xml:space="preserve">20182722</t>
  </si>
  <si>
    <t xml:space="preserve">17005906</t>
  </si>
  <si>
    <t xml:space="preserve">Здание</t>
  </si>
  <si>
    <t xml:space="preserve">Замоскворечье</t>
  </si>
  <si>
    <t xml:space="preserve">Пятницкая ул., д. 15</t>
  </si>
  <si>
    <t xml:space="preserve">Новокузнецкая</t>
  </si>
  <si>
    <t xml:space="preserve">77:01:0002018:1071</t>
  </si>
  <si>
    <t xml:space="preserve">17.09.2026 20:00</t>
  </si>
  <si>
    <t xml:space="preserve">13.11.2026 15:00</t>
  </si>
  <si>
    <t xml:space="preserve">20.11.2026 10:00</t>
  </si>
  <si>
    <t xml:space="preserve">20.11.2026 17:00</t>
  </si>
  <si>
    <t xml:space="preserve">В вашем списке ссылка была дважды. Вид цены — «плата за право заключения договора купли-продажи». Процедура по 178-ФЗ, ссылки на torgi.gov.ru в карточке нет. Объект культурного наследия.</t>
  </si>
  <si>
    <t xml:space="preserve">20202772</t>
  </si>
  <si>
    <t xml:space="preserve">16946504</t>
  </si>
  <si>
    <t xml:space="preserve">Пресненский</t>
  </si>
  <si>
    <t xml:space="preserve">Большая Никитская ул., д. 21/18, стр. 1, этаж 1</t>
  </si>
  <si>
    <t xml:space="preserve">Арбатская</t>
  </si>
  <si>
    <t xml:space="preserve">77:01:0001045:2432</t>
  </si>
  <si>
    <t xml:space="preserve">Через иную собственность</t>
  </si>
  <si>
    <t xml:space="preserve">24.09.2026 20:00</t>
  </si>
  <si>
    <t xml:space="preserve">11.11.2026 15:00</t>
  </si>
  <si>
    <t xml:space="preserve">20208821</t>
  </si>
  <si>
    <t xml:space="preserve">17006860</t>
  </si>
  <si>
    <t xml:space="preserve">ул. Бахрушина, д. 1, стр. 1, этаж 1, помещение 5/1</t>
  </si>
  <si>
    <t xml:space="preserve">Павелецкая</t>
  </si>
  <si>
    <t xml:space="preserve">77:01:0002012:3735</t>
  </si>
  <si>
    <t xml:space="preserve">Через подъезд</t>
  </si>
  <si>
    <t xml:space="preserve">06.10.2026 20:00</t>
  </si>
  <si>
    <t xml:space="preserve">12.11.2026 10:00</t>
  </si>
  <si>
    <t xml:space="preserve">17.11.2026 10:00</t>
  </si>
  <si>
    <t xml:space="preserve">17.11.2026 17:00</t>
  </si>
  <si>
    <t xml:space="preserve">20209390</t>
  </si>
  <si>
    <t xml:space="preserve">17007468</t>
  </si>
  <si>
    <t xml:space="preserve">Неглинная ул., д. 18/1, стр. 2</t>
  </si>
  <si>
    <t xml:space="preserve">Трубная</t>
  </si>
  <si>
    <t xml:space="preserve">77:01:0001080:1014</t>
  </si>
  <si>
    <t xml:space="preserve">77:01:0001080:2978</t>
  </si>
  <si>
    <t xml:space="preserve">07.10.2026 20:00</t>
  </si>
  <si>
    <t xml:space="preserve">Цена за м² считается по площади здания.</t>
  </si>
  <si>
    <t xml:space="preserve">20208859</t>
  </si>
  <si>
    <t xml:space="preserve">17005905</t>
  </si>
  <si>
    <t xml:space="preserve">ЮАО</t>
  </si>
  <si>
    <t xml:space="preserve">Орехово-Борисово Северное</t>
  </si>
  <si>
    <t xml:space="preserve">Каширское ш., д. 88/26, стр. 2</t>
  </si>
  <si>
    <t xml:space="preserve">Домодедовская</t>
  </si>
  <si>
    <t xml:space="preserve">77:05:0011002:1086</t>
  </si>
  <si>
    <t xml:space="preserve">77:05:0011002:93</t>
  </si>
  <si>
    <t xml:space="preserve">Итого (средняя цена за м² — по объектам с известной ценой)</t>
  </si>
  <si>
    <t xml:space="preserve">Источники: карточки investmoscow.ru (блок «О процедуре»), страницы процедур roseltorg.ru, извещение torgi.gov.ru 21000003370000000430 (через зеркало torgi-ru.com) и объявление Абсолют Банка на ЦИАН (площадь лота COM13102600087). Состояние на 20.10.2026.</t>
  </si>
  <si>
    <t xml:space="preserve">Ссылка investmoscow.ru/tenders/tender/20182722 повторялась в списке дважды, в реестре она одна строка.</t>
  </si>
  <si>
    <t xml:space="preserve">«Цена за м²» и строка «Итого» считаются формулами.</t>
  </si>
  <si>
    <t xml:space="preserve">Площадь ЗУ для зданий взята из заголовка карточки (в поле «Площадь земельного участка» стоит «Не указано»).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</si>
</sst>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#,##0"/>
    <numFmt numFmtId="167" formatCode="#,##0&quot; ₽&quot;"/>
    <numFmt numFmtId="168" formatCode="#,##0.00&quot; ₽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roseltorg.ru/procedure/21000003370000000430/1" TargetMode="External"/><Relationship Id="rId3" Type="http://schemas.openxmlformats.org/officeDocument/2006/relationships/hyperlink" Target="https://www.roseltorg.ru/procedure/21000003370000000430/1" TargetMode="External"/><Relationship Id="rId4" Type="http://schemas.openxmlformats.org/officeDocument/2006/relationships/hyperlink" Target="https://torgi.gov.ru/new/public/notices/view/21000003370000000430" TargetMode="External"/><Relationship Id="rId5" Type="http://schemas.openxmlformats.org/officeDocument/2006/relationships/hyperlink" Target="https://www.roseltorg.ru/procedure/COM13102600087/1" TargetMode="External"/><Relationship Id="rId6" Type="http://schemas.openxmlformats.org/officeDocument/2006/relationships/hyperlink" Target="https://www.roseltorg.ru/procedure/COM13102600087/1" TargetMode="External"/><Relationship Id="rId7" Type="http://schemas.openxmlformats.org/officeDocument/2006/relationships/hyperlink" Target="https://investmoscow.ru/tenders/tender/20198280" TargetMode="External"/><Relationship Id="rId8" Type="http://schemas.openxmlformats.org/officeDocument/2006/relationships/hyperlink" Target="https://www.roseltorg.ru/procedure/21000005000000033634/1" TargetMode="External"/><Relationship Id="rId9" Type="http://schemas.openxmlformats.org/officeDocument/2006/relationships/hyperlink" Target="https://torgi.gov.ru/new/public/notices/view/21000005000000033634" TargetMode="External"/><Relationship Id="rId10" Type="http://schemas.openxmlformats.org/officeDocument/2006/relationships/hyperlink" Target="https://investmoscow.ru/tenders/tender/20212872" TargetMode="External"/><Relationship Id="rId11" Type="http://schemas.openxmlformats.org/officeDocument/2006/relationships/hyperlink" Target="https://www.roseltorg.ru/procedure/21000005000000034406" TargetMode="External"/><Relationship Id="rId12" Type="http://schemas.openxmlformats.org/officeDocument/2006/relationships/hyperlink" Target="https://torgi.gov.ru/new/public/notices/view/21000005000000034406" TargetMode="External"/><Relationship Id="rId13" Type="http://schemas.openxmlformats.org/officeDocument/2006/relationships/hyperlink" Target="https://investmoscow.ru/tenders/tender/20182722" TargetMode="External"/><Relationship Id="rId14" Type="http://schemas.openxmlformats.org/officeDocument/2006/relationships/hyperlink" Target="https://www.roseltorg.ru/procedure/178fz17092600002/1" TargetMode="External"/><Relationship Id="rId15" Type="http://schemas.openxmlformats.org/officeDocument/2006/relationships/hyperlink" Target="https://investmoscow.ru/tenders/tender/20202772" TargetMode="External"/><Relationship Id="rId16" Type="http://schemas.openxmlformats.org/officeDocument/2006/relationships/hyperlink" Target="https://www.roseltorg.ru/procedure/21000005000000033929/1" TargetMode="External"/><Relationship Id="rId17" Type="http://schemas.openxmlformats.org/officeDocument/2006/relationships/hyperlink" Target="https://torgi.gov.ru/new/public/notices/view/21000005000000033929" TargetMode="External"/><Relationship Id="rId18" Type="http://schemas.openxmlformats.org/officeDocument/2006/relationships/hyperlink" Target="https://investmoscow.ru/tenders/tender/20208821" TargetMode="External"/><Relationship Id="rId19" Type="http://schemas.openxmlformats.org/officeDocument/2006/relationships/hyperlink" Target="https://www.roseltorg.ru/procedure/21000005000000034190/1" TargetMode="External"/><Relationship Id="rId20" Type="http://schemas.openxmlformats.org/officeDocument/2006/relationships/hyperlink" Target="https://torgi.gov.ru/new/public/notices/view/21000005000000034190" TargetMode="External"/><Relationship Id="rId21" Type="http://schemas.openxmlformats.org/officeDocument/2006/relationships/hyperlink" Target="https://investmoscow.ru/tenders/tender/20209390" TargetMode="External"/><Relationship Id="rId22" Type="http://schemas.openxmlformats.org/officeDocument/2006/relationships/hyperlink" Target="https://www.roseltorg.ru/procedure/21000005000000034236/1" TargetMode="External"/><Relationship Id="rId23" Type="http://schemas.openxmlformats.org/officeDocument/2006/relationships/hyperlink" Target="https://torgi.gov.ru/new/public/notices/view/21000005000000034236" TargetMode="External"/><Relationship Id="rId24" Type="http://schemas.openxmlformats.org/officeDocument/2006/relationships/hyperlink" Target="https://investmoscow.ru/tenders/tender/20208859" TargetMode="External"/><Relationship Id="rId25" Type="http://schemas.openxmlformats.org/officeDocument/2006/relationships/hyperlink" Target="https://www.roseltorg.ru/procedure/21000005000000034221/1" TargetMode="External"/><Relationship Id="rId26" Type="http://schemas.openxmlformats.org/officeDocument/2006/relationships/hyperlink" Target="https://torgi.gov.ru/new/public/notices/view/21000005000000034221" TargetMode="External"/><Relationship Id="rId27" Type="http://schemas.openxmlformats.org/officeDocument/2006/relationships/drawing" Target="../drawings/drawing1.xml"/><Relationship Id="rId28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20"/>
    <col collapsed="false" customWidth="true" hidden="false" outlineLevel="0" max="8" min="7" style="0" width="10"/>
    <col collapsed="false" customWidth="true" hidden="false" outlineLevel="0" max="9" min="9" style="0" width="18"/>
    <col collapsed="false" customWidth="true" hidden="false" outlineLevel="0" max="10" min="10" style="0" width="42"/>
    <col collapsed="false" customWidth="true" hidden="false" outlineLevel="0" max="11" min="11" style="0" width="16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9"/>
    <col collapsed="false" customWidth="true" hidden="false" outlineLevel="0" max="17" min="17" style="0" width="16"/>
    <col collapsed="false" customWidth="true" hidden="false" outlineLevel="0" max="18" min="18" style="0" width="13"/>
    <col collapsed="false" customWidth="true" hidden="false" outlineLevel="0" max="19" min="19" style="0" width="14"/>
    <col collapsed="false" customWidth="true" hidden="false" outlineLevel="0" max="20" min="20" style="0" width="12"/>
    <col collapsed="false" customWidth="true" hidden="false" outlineLevel="0" max="21" min="21" style="0" width="20"/>
    <col collapsed="false" customWidth="true" hidden="false" outlineLevel="0" max="23" min="22" style="0" width="14"/>
    <col collapsed="false" customWidth="true" hidden="false" outlineLevel="0" max="25" min="24" style="0" width="22"/>
    <col collapsed="false" customWidth="true" hidden="false" outlineLevel="0" max="26" min="26" style="0" width="12"/>
    <col collapsed="false" customWidth="true" hidden="false" outlineLevel="0" max="27" min="27" style="0" width="22"/>
    <col collapsed="false" customWidth="true" hidden="false" outlineLevel="0" max="29" min="28" style="0" width="11"/>
    <col collapsed="false" customWidth="true" hidden="false" outlineLevel="0" max="30" min="30" style="0" width="7"/>
    <col collapsed="false" customWidth="true" hidden="false" outlineLevel="0" max="35" min="31" style="0" width="16"/>
    <col collapsed="false" customWidth="true" hidden="false" outlineLevel="0" max="36" min="36" style="0" width="4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</row>
    <row r="5" customFormat="false" ht="68.65" hidden="false" customHeight="false" outlineLevel="0" collapsed="false">
      <c r="A5" s="4" t="n">
        <v>1</v>
      </c>
      <c r="B5" s="4" t="s">
        <v>38</v>
      </c>
      <c r="C5" s="5" t="s">
        <v>39</v>
      </c>
      <c r="D5" s="4" t="s">
        <v>40</v>
      </c>
      <c r="E5" s="4"/>
      <c r="F5" s="4" t="s">
        <v>41</v>
      </c>
      <c r="G5" s="4" t="s">
        <v>42</v>
      </c>
      <c r="H5" s="4" t="s">
        <v>43</v>
      </c>
      <c r="I5" s="4" t="s">
        <v>44</v>
      </c>
      <c r="J5" s="4" t="s">
        <v>45</v>
      </c>
      <c r="K5" s="4" t="s">
        <v>46</v>
      </c>
      <c r="L5" s="4" t="n">
        <v>4</v>
      </c>
      <c r="M5" s="6" t="n">
        <v>1259.3</v>
      </c>
      <c r="N5" s="7" t="n">
        <v>621</v>
      </c>
      <c r="O5" s="4"/>
      <c r="P5" s="4" t="n">
        <v>3</v>
      </c>
      <c r="Q5" s="8" t="n">
        <v>289558721</v>
      </c>
      <c r="R5" s="8" t="n">
        <f aca="false">IF(AND(ISNUMBER(Q5),ISNUMBER(M5),M5&gt;0),Q5/M5,"")</f>
        <v>229936.251091876</v>
      </c>
      <c r="S5" s="9" t="n">
        <v>57911744.2</v>
      </c>
      <c r="T5" s="9" t="n">
        <v>5791174.42</v>
      </c>
      <c r="U5" s="4" t="s">
        <v>47</v>
      </c>
      <c r="V5" s="5" t="s">
        <v>48</v>
      </c>
      <c r="W5" s="5" t="s">
        <v>49</v>
      </c>
      <c r="X5" s="4" t="s">
        <v>50</v>
      </c>
      <c r="Y5" s="4" t="s">
        <v>51</v>
      </c>
      <c r="Z5" s="4" t="s">
        <v>52</v>
      </c>
      <c r="AA5" s="4"/>
      <c r="AB5" s="4"/>
      <c r="AC5" s="4" t="s">
        <v>53</v>
      </c>
      <c r="AD5" s="4"/>
      <c r="AE5" s="4" t="s">
        <v>54</v>
      </c>
      <c r="AF5" s="4" t="s">
        <v>55</v>
      </c>
      <c r="AG5" s="4" t="s">
        <v>56</v>
      </c>
      <c r="AH5" s="4" t="s">
        <v>57</v>
      </c>
      <c r="AI5" s="4"/>
      <c r="AJ5" s="4" t="s">
        <v>58</v>
      </c>
    </row>
    <row r="6" customFormat="false" ht="57.45" hidden="false" customHeight="false" outlineLevel="0" collapsed="false">
      <c r="A6" s="4" t="n">
        <v>2</v>
      </c>
      <c r="B6" s="4" t="s">
        <v>59</v>
      </c>
      <c r="C6" s="5" t="s">
        <v>39</v>
      </c>
      <c r="D6" s="4" t="s">
        <v>60</v>
      </c>
      <c r="E6" s="4"/>
      <c r="F6" s="4" t="s">
        <v>61</v>
      </c>
      <c r="G6" s="4" t="s">
        <v>42</v>
      </c>
      <c r="H6" s="4" t="s">
        <v>43</v>
      </c>
      <c r="I6" s="4" t="s">
        <v>62</v>
      </c>
      <c r="J6" s="4" t="s">
        <v>63</v>
      </c>
      <c r="K6" s="4" t="s">
        <v>64</v>
      </c>
      <c r="L6" s="4" t="n">
        <v>2</v>
      </c>
      <c r="M6" s="6" t="n">
        <v>315.5</v>
      </c>
      <c r="N6" s="7"/>
      <c r="O6" s="4" t="s">
        <v>65</v>
      </c>
      <c r="P6" s="4" t="n">
        <v>3</v>
      </c>
      <c r="Q6" s="8" t="n">
        <v>112951260</v>
      </c>
      <c r="R6" s="8" t="n">
        <f aca="false">IF(AND(ISNUMBER(Q6),ISNUMBER(M6),M6&gt;0),Q6/M6,"")</f>
        <v>358007.163232964</v>
      </c>
      <c r="S6" s="9" t="n">
        <v>11295126</v>
      </c>
      <c r="T6" s="9"/>
      <c r="U6" s="4" t="s">
        <v>66</v>
      </c>
      <c r="V6" s="5" t="s">
        <v>48</v>
      </c>
      <c r="W6" s="4"/>
      <c r="X6" s="4"/>
      <c r="Y6" s="4"/>
      <c r="Z6" s="4"/>
      <c r="AA6" s="4"/>
      <c r="AB6" s="4"/>
      <c r="AC6" s="4"/>
      <c r="AD6" s="4"/>
      <c r="AE6" s="4" t="s">
        <v>67</v>
      </c>
      <c r="AF6" s="4" t="s">
        <v>68</v>
      </c>
      <c r="AG6" s="4" t="s">
        <v>69</v>
      </c>
      <c r="AH6" s="4" t="s">
        <v>70</v>
      </c>
      <c r="AI6" s="4"/>
      <c r="AJ6" s="4" t="s">
        <v>71</v>
      </c>
    </row>
    <row r="7" customFormat="false" ht="23.85" hidden="false" customHeight="false" outlineLevel="0" collapsed="false">
      <c r="A7" s="4" t="n">
        <v>3</v>
      </c>
      <c r="B7" s="4" t="s">
        <v>72</v>
      </c>
      <c r="C7" s="5" t="s">
        <v>39</v>
      </c>
      <c r="D7" s="4" t="s">
        <v>73</v>
      </c>
      <c r="E7" s="4" t="s">
        <v>74</v>
      </c>
      <c r="F7" s="4" t="s">
        <v>61</v>
      </c>
      <c r="G7" s="4" t="s">
        <v>42</v>
      </c>
      <c r="H7" s="4" t="s">
        <v>43</v>
      </c>
      <c r="I7" s="4" t="s">
        <v>75</v>
      </c>
      <c r="J7" s="4" t="s">
        <v>76</v>
      </c>
      <c r="K7" s="4" t="s">
        <v>77</v>
      </c>
      <c r="L7" s="4" t="n">
        <v>5</v>
      </c>
      <c r="M7" s="6" t="n">
        <v>42.3</v>
      </c>
      <c r="N7" s="7"/>
      <c r="O7" s="4" t="s">
        <v>78</v>
      </c>
      <c r="P7" s="4" t="n">
        <v>3</v>
      </c>
      <c r="Q7" s="8" t="n">
        <v>15384000</v>
      </c>
      <c r="R7" s="8" t="n">
        <f aca="false">IF(AND(ISNUMBER(Q7),ISNUMBER(M7),M7&gt;0),Q7/M7,"")</f>
        <v>363687.943262411</v>
      </c>
      <c r="S7" s="9" t="n">
        <v>1538400</v>
      </c>
      <c r="T7" s="9" t="n">
        <v>769200</v>
      </c>
      <c r="U7" s="4" t="s">
        <v>79</v>
      </c>
      <c r="V7" s="5" t="s">
        <v>48</v>
      </c>
      <c r="W7" s="5" t="s">
        <v>49</v>
      </c>
      <c r="X7" s="4" t="s">
        <v>80</v>
      </c>
      <c r="Y7" s="4"/>
      <c r="Z7" s="4" t="s">
        <v>81</v>
      </c>
      <c r="AA7" s="4" t="s">
        <v>82</v>
      </c>
      <c r="AB7" s="4" t="s">
        <v>83</v>
      </c>
      <c r="AC7" s="4" t="s">
        <v>83</v>
      </c>
      <c r="AD7" s="4" t="s">
        <v>83</v>
      </c>
      <c r="AE7" s="4" t="s">
        <v>84</v>
      </c>
      <c r="AF7" s="4" t="s">
        <v>85</v>
      </c>
      <c r="AG7" s="4" t="s">
        <v>86</v>
      </c>
      <c r="AH7" s="4" t="s">
        <v>87</v>
      </c>
      <c r="AI7" s="4" t="s">
        <v>88</v>
      </c>
      <c r="AJ7" s="4" t="s">
        <v>89</v>
      </c>
    </row>
    <row r="8" customFormat="false" ht="23.85" hidden="false" customHeight="false" outlineLevel="0" collapsed="false">
      <c r="A8" s="4" t="n">
        <v>4</v>
      </c>
      <c r="B8" s="4" t="s">
        <v>72</v>
      </c>
      <c r="C8" s="5" t="s">
        <v>39</v>
      </c>
      <c r="D8" s="4" t="s">
        <v>90</v>
      </c>
      <c r="E8" s="4" t="s">
        <v>91</v>
      </c>
      <c r="F8" s="4" t="s">
        <v>61</v>
      </c>
      <c r="G8" s="4" t="s">
        <v>42</v>
      </c>
      <c r="H8" s="4" t="s">
        <v>43</v>
      </c>
      <c r="I8" s="4" t="s">
        <v>75</v>
      </c>
      <c r="J8" s="4" t="s">
        <v>92</v>
      </c>
      <c r="K8" s="4" t="s">
        <v>93</v>
      </c>
      <c r="L8" s="4" t="n">
        <v>9</v>
      </c>
      <c r="M8" s="6" t="n">
        <v>431.2</v>
      </c>
      <c r="N8" s="7"/>
      <c r="O8" s="4" t="s">
        <v>78</v>
      </c>
      <c r="P8" s="4"/>
      <c r="Q8" s="8" t="n">
        <v>239527000</v>
      </c>
      <c r="R8" s="8" t="n">
        <f aca="false">IF(AND(ISNUMBER(Q8),ISNUMBER(M8),M8&gt;0),Q8/M8,"")</f>
        <v>555489.332096475</v>
      </c>
      <c r="S8" s="9" t="n">
        <v>47905400</v>
      </c>
      <c r="T8" s="9" t="n">
        <v>2395270</v>
      </c>
      <c r="U8" s="4" t="s">
        <v>79</v>
      </c>
      <c r="V8" s="5" t="s">
        <v>48</v>
      </c>
      <c r="W8" s="5" t="s">
        <v>49</v>
      </c>
      <c r="X8" s="4" t="s">
        <v>94</v>
      </c>
      <c r="Y8" s="4"/>
      <c r="Z8" s="4" t="s">
        <v>81</v>
      </c>
      <c r="AA8" s="4" t="s">
        <v>95</v>
      </c>
      <c r="AB8" s="4" t="s">
        <v>83</v>
      </c>
      <c r="AC8" s="4" t="s">
        <v>83</v>
      </c>
      <c r="AD8" s="4" t="s">
        <v>96</v>
      </c>
      <c r="AE8" s="4" t="s">
        <v>97</v>
      </c>
      <c r="AF8" s="4" t="s">
        <v>98</v>
      </c>
      <c r="AG8" s="4" t="s">
        <v>99</v>
      </c>
      <c r="AH8" s="4" t="s">
        <v>100</v>
      </c>
      <c r="AI8" s="4" t="s">
        <v>101</v>
      </c>
      <c r="AJ8" s="4" t="s">
        <v>102</v>
      </c>
    </row>
    <row r="9" customFormat="false" ht="57.45" hidden="false" customHeight="false" outlineLevel="0" collapsed="false">
      <c r="A9" s="4" t="n">
        <v>5</v>
      </c>
      <c r="B9" s="4" t="s">
        <v>72</v>
      </c>
      <c r="C9" s="5" t="s">
        <v>39</v>
      </c>
      <c r="D9" s="4" t="s">
        <v>103</v>
      </c>
      <c r="E9" s="4" t="s">
        <v>104</v>
      </c>
      <c r="F9" s="4" t="s">
        <v>105</v>
      </c>
      <c r="G9" s="4" t="s">
        <v>42</v>
      </c>
      <c r="H9" s="4" t="s">
        <v>43</v>
      </c>
      <c r="I9" s="4" t="s">
        <v>106</v>
      </c>
      <c r="J9" s="4" t="s">
        <v>107</v>
      </c>
      <c r="K9" s="4" t="s">
        <v>108</v>
      </c>
      <c r="L9" s="4" t="n">
        <v>2</v>
      </c>
      <c r="M9" s="6" t="n">
        <v>1030.1</v>
      </c>
      <c r="N9" s="7"/>
      <c r="O9" s="4"/>
      <c r="P9" s="4" t="n">
        <v>3</v>
      </c>
      <c r="Q9" s="8" t="n">
        <v>263000000</v>
      </c>
      <c r="R9" s="8" t="n">
        <f aca="false">IF(AND(ISNUMBER(Q9),ISNUMBER(M9),M9&gt;0),Q9/M9,"")</f>
        <v>255315.017959421</v>
      </c>
      <c r="S9" s="9" t="n">
        <v>131500000</v>
      </c>
      <c r="T9" s="9" t="n">
        <v>2630000</v>
      </c>
      <c r="U9" s="4" t="s">
        <v>79</v>
      </c>
      <c r="V9" s="5" t="s">
        <v>48</v>
      </c>
      <c r="W9" s="4"/>
      <c r="X9" s="4" t="s">
        <v>109</v>
      </c>
      <c r="Y9" s="4"/>
      <c r="Z9" s="4" t="s">
        <v>81</v>
      </c>
      <c r="AA9" s="4"/>
      <c r="AB9" s="4" t="s">
        <v>83</v>
      </c>
      <c r="AC9" s="4" t="s">
        <v>83</v>
      </c>
      <c r="AD9" s="4" t="s">
        <v>96</v>
      </c>
      <c r="AE9" s="4" t="s">
        <v>110</v>
      </c>
      <c r="AF9" s="4" t="s">
        <v>111</v>
      </c>
      <c r="AG9" s="4" t="s">
        <v>87</v>
      </c>
      <c r="AH9" s="4" t="s">
        <v>112</v>
      </c>
      <c r="AI9" s="4" t="s">
        <v>113</v>
      </c>
      <c r="AJ9" s="4" t="s">
        <v>114</v>
      </c>
    </row>
    <row r="10" customFormat="false" ht="23.85" hidden="false" customHeight="false" outlineLevel="0" collapsed="false">
      <c r="A10" s="4" t="n">
        <v>6</v>
      </c>
      <c r="B10" s="4" t="s">
        <v>72</v>
      </c>
      <c r="C10" s="5" t="s">
        <v>39</v>
      </c>
      <c r="D10" s="4" t="s">
        <v>115</v>
      </c>
      <c r="E10" s="4" t="s">
        <v>116</v>
      </c>
      <c r="F10" s="4" t="s">
        <v>61</v>
      </c>
      <c r="G10" s="4" t="s">
        <v>42</v>
      </c>
      <c r="H10" s="4" t="s">
        <v>43</v>
      </c>
      <c r="I10" s="4" t="s">
        <v>117</v>
      </c>
      <c r="J10" s="4" t="s">
        <v>118</v>
      </c>
      <c r="K10" s="4" t="s">
        <v>119</v>
      </c>
      <c r="L10" s="4" t="n">
        <v>9</v>
      </c>
      <c r="M10" s="6" t="n">
        <v>13.1</v>
      </c>
      <c r="N10" s="7"/>
      <c r="O10" s="4" t="s">
        <v>78</v>
      </c>
      <c r="P10" s="4" t="n">
        <v>2</v>
      </c>
      <c r="Q10" s="8" t="n">
        <v>17225000</v>
      </c>
      <c r="R10" s="8" t="n">
        <f aca="false">IF(AND(ISNUMBER(Q10),ISNUMBER(M10),M10&gt;0),Q10/M10,"")</f>
        <v>1314885.49618321</v>
      </c>
      <c r="S10" s="9" t="n">
        <v>1722500</v>
      </c>
      <c r="T10" s="9" t="n">
        <v>861250</v>
      </c>
      <c r="U10" s="4" t="s">
        <v>79</v>
      </c>
      <c r="V10" s="5" t="s">
        <v>48</v>
      </c>
      <c r="W10" s="5" t="s">
        <v>49</v>
      </c>
      <c r="X10" s="4" t="s">
        <v>120</v>
      </c>
      <c r="Y10" s="4"/>
      <c r="Z10" s="4" t="s">
        <v>81</v>
      </c>
      <c r="AA10" s="4" t="s">
        <v>121</v>
      </c>
      <c r="AB10" s="4" t="s">
        <v>83</v>
      </c>
      <c r="AC10" s="4" t="s">
        <v>83</v>
      </c>
      <c r="AD10" s="4" t="s">
        <v>96</v>
      </c>
      <c r="AE10" s="4" t="s">
        <v>122</v>
      </c>
      <c r="AF10" s="4" t="s">
        <v>123</v>
      </c>
      <c r="AG10" s="4" t="s">
        <v>87</v>
      </c>
      <c r="AH10" s="4" t="s">
        <v>112</v>
      </c>
      <c r="AI10" s="4" t="s">
        <v>113</v>
      </c>
      <c r="AJ10" s="4" t="s">
        <v>102</v>
      </c>
    </row>
    <row r="11" customFormat="false" ht="23.85" hidden="false" customHeight="false" outlineLevel="0" collapsed="false">
      <c r="A11" s="4" t="n">
        <v>7</v>
      </c>
      <c r="B11" s="4" t="s">
        <v>72</v>
      </c>
      <c r="C11" s="5" t="s">
        <v>39</v>
      </c>
      <c r="D11" s="4" t="s">
        <v>124</v>
      </c>
      <c r="E11" s="4" t="s">
        <v>125</v>
      </c>
      <c r="F11" s="4" t="s">
        <v>61</v>
      </c>
      <c r="G11" s="4" t="s">
        <v>42</v>
      </c>
      <c r="H11" s="4" t="s">
        <v>43</v>
      </c>
      <c r="I11" s="4" t="s">
        <v>106</v>
      </c>
      <c r="J11" s="4" t="s">
        <v>126</v>
      </c>
      <c r="K11" s="4" t="s">
        <v>127</v>
      </c>
      <c r="L11" s="4" t="n">
        <v>9</v>
      </c>
      <c r="M11" s="6" t="n">
        <v>167.1</v>
      </c>
      <c r="N11" s="7"/>
      <c r="O11" s="4" t="s">
        <v>78</v>
      </c>
      <c r="P11" s="4" t="n">
        <v>6</v>
      </c>
      <c r="Q11" s="8" t="n">
        <v>50797000</v>
      </c>
      <c r="R11" s="8" t="n">
        <f aca="false">IF(AND(ISNUMBER(Q11),ISNUMBER(M11),M11&gt;0),Q11/M11,"")</f>
        <v>303991.621783363</v>
      </c>
      <c r="S11" s="9" t="n">
        <v>5079700</v>
      </c>
      <c r="T11" s="9" t="n">
        <v>2539850</v>
      </c>
      <c r="U11" s="4" t="s">
        <v>79</v>
      </c>
      <c r="V11" s="5" t="s">
        <v>48</v>
      </c>
      <c r="W11" s="5" t="s">
        <v>49</v>
      </c>
      <c r="X11" s="4" t="s">
        <v>128</v>
      </c>
      <c r="Y11" s="4"/>
      <c r="Z11" s="4" t="s">
        <v>81</v>
      </c>
      <c r="AA11" s="4" t="s">
        <v>129</v>
      </c>
      <c r="AB11" s="4" t="s">
        <v>83</v>
      </c>
      <c r="AC11" s="4" t="s">
        <v>83</v>
      </c>
      <c r="AD11" s="4" t="s">
        <v>83</v>
      </c>
      <c r="AE11" s="4" t="s">
        <v>130</v>
      </c>
      <c r="AF11" s="4" t="s">
        <v>85</v>
      </c>
      <c r="AG11" s="4" t="s">
        <v>131</v>
      </c>
      <c r="AH11" s="4" t="s">
        <v>132</v>
      </c>
      <c r="AI11" s="4" t="s">
        <v>133</v>
      </c>
      <c r="AJ11" s="4"/>
    </row>
    <row r="12" customFormat="false" ht="23.85" hidden="false" customHeight="false" outlineLevel="0" collapsed="false">
      <c r="A12" s="4" t="n">
        <v>8</v>
      </c>
      <c r="B12" s="4" t="s">
        <v>72</v>
      </c>
      <c r="C12" s="5" t="s">
        <v>39</v>
      </c>
      <c r="D12" s="4" t="s">
        <v>134</v>
      </c>
      <c r="E12" s="4" t="s">
        <v>135</v>
      </c>
      <c r="F12" s="4" t="s">
        <v>41</v>
      </c>
      <c r="G12" s="4" t="s">
        <v>42</v>
      </c>
      <c r="H12" s="4" t="s">
        <v>43</v>
      </c>
      <c r="I12" s="4" t="s">
        <v>62</v>
      </c>
      <c r="J12" s="4" t="s">
        <v>136</v>
      </c>
      <c r="K12" s="4" t="s">
        <v>137</v>
      </c>
      <c r="L12" s="4" t="n">
        <v>4</v>
      </c>
      <c r="M12" s="6" t="n">
        <v>634.4</v>
      </c>
      <c r="N12" s="7" t="n">
        <v>396</v>
      </c>
      <c r="O12" s="4"/>
      <c r="P12" s="4" t="n">
        <v>1</v>
      </c>
      <c r="Q12" s="8" t="n">
        <v>195014000</v>
      </c>
      <c r="R12" s="8" t="n">
        <f aca="false">IF(AND(ISNUMBER(Q12),ISNUMBER(M12),M12&gt;0),Q12/M12,"")</f>
        <v>307399.117276166</v>
      </c>
      <c r="S12" s="9" t="n">
        <v>39002800</v>
      </c>
      <c r="T12" s="9" t="n">
        <v>1950140</v>
      </c>
      <c r="U12" s="4" t="s">
        <v>79</v>
      </c>
      <c r="V12" s="5" t="s">
        <v>48</v>
      </c>
      <c r="W12" s="5" t="s">
        <v>49</v>
      </c>
      <c r="X12" s="4" t="s">
        <v>138</v>
      </c>
      <c r="Y12" s="4" t="s">
        <v>139</v>
      </c>
      <c r="Z12" s="4" t="s">
        <v>81</v>
      </c>
      <c r="AA12" s="4"/>
      <c r="AB12" s="4" t="s">
        <v>83</v>
      </c>
      <c r="AC12" s="4" t="s">
        <v>83</v>
      </c>
      <c r="AD12" s="4" t="s">
        <v>83</v>
      </c>
      <c r="AE12" s="4" t="s">
        <v>140</v>
      </c>
      <c r="AF12" s="4" t="s">
        <v>85</v>
      </c>
      <c r="AG12" s="4" t="s">
        <v>131</v>
      </c>
      <c r="AH12" s="4" t="s">
        <v>132</v>
      </c>
      <c r="AI12" s="4" t="s">
        <v>133</v>
      </c>
      <c r="AJ12" s="4" t="s">
        <v>141</v>
      </c>
    </row>
    <row r="13" customFormat="false" ht="23.85" hidden="false" customHeight="false" outlineLevel="0" collapsed="false">
      <c r="A13" s="4" t="n">
        <v>9</v>
      </c>
      <c r="B13" s="4" t="s">
        <v>72</v>
      </c>
      <c r="C13" s="5" t="s">
        <v>39</v>
      </c>
      <c r="D13" s="4" t="s">
        <v>142</v>
      </c>
      <c r="E13" s="4" t="s">
        <v>143</v>
      </c>
      <c r="F13" s="4" t="s">
        <v>41</v>
      </c>
      <c r="G13" s="4" t="s">
        <v>42</v>
      </c>
      <c r="H13" s="4" t="s">
        <v>144</v>
      </c>
      <c r="I13" s="4" t="s">
        <v>145</v>
      </c>
      <c r="J13" s="4" t="s">
        <v>146</v>
      </c>
      <c r="K13" s="4" t="s">
        <v>147</v>
      </c>
      <c r="L13" s="4" t="n">
        <v>12</v>
      </c>
      <c r="M13" s="6" t="n">
        <v>898.3</v>
      </c>
      <c r="N13" s="7" t="n">
        <v>808</v>
      </c>
      <c r="O13" s="4"/>
      <c r="P13" s="4" t="n">
        <v>1</v>
      </c>
      <c r="Q13" s="8" t="n">
        <v>158898000</v>
      </c>
      <c r="R13" s="8" t="n">
        <f aca="false">IF(AND(ISNUMBER(Q13),ISNUMBER(M13),M13&gt;0),Q13/M13,"")</f>
        <v>176887.454079929</v>
      </c>
      <c r="S13" s="9" t="n">
        <v>31779600</v>
      </c>
      <c r="T13" s="9" t="n">
        <v>1588980</v>
      </c>
      <c r="U13" s="4" t="s">
        <v>79</v>
      </c>
      <c r="V13" s="5" t="s">
        <v>48</v>
      </c>
      <c r="W13" s="5" t="s">
        <v>49</v>
      </c>
      <c r="X13" s="4" t="s">
        <v>148</v>
      </c>
      <c r="Y13" s="4" t="s">
        <v>149</v>
      </c>
      <c r="Z13" s="4" t="s">
        <v>81</v>
      </c>
      <c r="AA13" s="4"/>
      <c r="AB13" s="4" t="s">
        <v>83</v>
      </c>
      <c r="AC13" s="4" t="s">
        <v>83</v>
      </c>
      <c r="AD13" s="4" t="s">
        <v>83</v>
      </c>
      <c r="AE13" s="4" t="s">
        <v>140</v>
      </c>
      <c r="AF13" s="4" t="s">
        <v>85</v>
      </c>
      <c r="AG13" s="4" t="s">
        <v>131</v>
      </c>
      <c r="AH13" s="4" t="s">
        <v>132</v>
      </c>
      <c r="AI13" s="4" t="s">
        <v>133</v>
      </c>
      <c r="AJ13" s="4" t="s">
        <v>141</v>
      </c>
    </row>
    <row r="14" customFormat="false" ht="15" hidden="false" customHeight="false" outlineLevel="0" collapsed="false">
      <c r="J14" s="10" t="s">
        <v>150</v>
      </c>
      <c r="M14" s="11" t="n">
        <f aca="false">SUM(M5:M13)</f>
        <v>4791.3</v>
      </c>
      <c r="Q14" s="12" t="n">
        <f aca="false">SUM(Q5:Q13)</f>
        <v>1342354981</v>
      </c>
      <c r="R14" s="12" t="n">
        <f aca="false">IFERROR(SUM(Q5:Q13)/SUMIF(Q5:Q13,"&gt;0",M5:M13),"")</f>
        <v>280165.086928391</v>
      </c>
    </row>
    <row r="16" customFormat="false" ht="15" hidden="false" customHeight="false" outlineLevel="0" collapsed="false">
      <c r="A16" s="13" t="s">
        <v>151</v>
      </c>
    </row>
    <row r="17" customFormat="false" ht="15" hidden="false" customHeight="false" outlineLevel="0" collapsed="false">
      <c r="A17" s="13" t="s">
        <v>152</v>
      </c>
    </row>
    <row r="18" customFormat="false" ht="15" hidden="false" customHeight="false" outlineLevel="0" collapsed="false">
      <c r="A18" s="13" t="s">
        <v>153</v>
      </c>
    </row>
    <row r="19" customFormat="false" ht="15" hidden="false" customHeight="false" outlineLevel="0" collapsed="false">
      <c r="A19" s="13" t="s">
        <v>154</v>
      </c>
    </row>
  </sheetData>
  <autoFilter ref="A4:AJ13"/>
  <hyperlinks>
    <hyperlink ref="C5" r:id="rId2" display="открыть"/>
    <hyperlink ref="V5" r:id="rId3" display="roseltorg"/>
    <hyperlink ref="W5" r:id="rId4" display="извещение"/>
    <hyperlink ref="C6" r:id="rId5" display="открыть"/>
    <hyperlink ref="V6" r:id="rId6" display="roseltorg"/>
    <hyperlink ref="C7" r:id="rId7" display="открыть"/>
    <hyperlink ref="V7" r:id="rId8" display="roseltorg"/>
    <hyperlink ref="W7" r:id="rId9" display="извещение"/>
    <hyperlink ref="C8" r:id="rId10" display="открыть"/>
    <hyperlink ref="V8" r:id="rId11" display="roseltorg"/>
    <hyperlink ref="W8" r:id="rId12" display="извещение"/>
    <hyperlink ref="C9" r:id="rId13" display="открыть"/>
    <hyperlink ref="V9" r:id="rId14" display="roseltorg"/>
    <hyperlink ref="C10" r:id="rId15" display="открыть"/>
    <hyperlink ref="V10" r:id="rId16" display="roseltorg"/>
    <hyperlink ref="W10" r:id="rId17" display="извещение"/>
    <hyperlink ref="C11" r:id="rId18" display="открыть"/>
    <hyperlink ref="V11" r:id="rId19" display="roseltorg"/>
    <hyperlink ref="W11" r:id="rId20" display="извещение"/>
    <hyperlink ref="C12" r:id="rId21" display="открыть"/>
    <hyperlink ref="V12" r:id="rId22" display="roseltorg"/>
    <hyperlink ref="W12" r:id="rId23" display="извещение"/>
    <hyperlink ref="C13" r:id="rId24" display="открыть"/>
    <hyperlink ref="V13" r:id="rId25" display="roseltorg"/>
    <hyperlink ref="W13" r:id="rId26" display="извещ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  <legacyDrawing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2026-10-20T13:35:59Z</dcterms:created>
  <dc:creator>openpyxl</dc:creator>
  <dc:description/>
  <dc:language>en-US</dc:language>
  <cp:lastModifiedBy/>
  <dcterms:modified xsi:type="dcterms:W3CDTF">2026-10-20T13:35:59Z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