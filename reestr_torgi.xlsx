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естр" sheetId="1" state="visible" r:id="rId3"/>
    <sheet name="Сортировка" sheetId="2" state="visible" r:id="rId4"/>
    <sheet name="_calc" sheetId="3" state="hidden" r:id="rId5"/>
  </sheets>
  <definedNames>
    <definedName function="false" hidden="false" localSheetId="0" name="_xlnm.Print_Titles" vbProcedure="false">Реестр!$10:$10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4" authorId="0">
      <text>
        <r>
          <rPr>
            <sz val="10"/>
            <rFont val="Arial"/>
            <family val="2"/>
          </rPr>
          <t xml:space="preserve">Площадь 315,5 м² взята из объявления Абсолют Банка на ЦИАН (та же цена — 112,95 млн ₽, с НДС 22%). На странице roseltorg площадь не указана — она есть только в аукционной документации (.doc).</t>
        </r>
      </text>
    </comment>
  </commentList>
</comments>
</file>

<file path=xl/sharedStrings.xml><?xml version="1.0" encoding="utf-8"?>
<sst xmlns="http://schemas.openxmlformats.org/spreadsheetml/2006/main" count="275" uniqueCount="152">
  <si>
    <t xml:space="preserve">Реестр объектов на торгах · Москва</t>
  </si>
  <si>
    <t xml:space="preserve">9 объектов · investmoscow.ru, roseltorg.ru, torgi.gov.ru · данные на 20.10.2026 · время московское</t>
  </si>
  <si>
    <t xml:space="preserve">ОБЪЕКТОВ</t>
  </si>
  <si>
    <t xml:space="preserve">СУММА НАЧАЛЬНЫХ ЦЕН</t>
  </si>
  <si>
    <t xml:space="preserve">ОБЩАЯ ПЛОЩАДЬ</t>
  </si>
  <si>
    <t xml:space="preserve">СРЕДНЯЯ ЦЕНА ЗА М²</t>
  </si>
  <si>
    <t xml:space="preserve">БЛИЖАЙШИЕ ТОРГИ</t>
  </si>
  <si>
    <t xml:space="preserve">МИН. ЦЕНА ЗА М²</t>
  </si>
  <si>
    <t xml:space="preserve">в реестре, с учётом фильтра</t>
  </si>
  <si>
    <t xml:space="preserve">по видимым строкам</t>
  </si>
  <si>
    <t xml:space="preserve">без учёта земельных участков</t>
  </si>
  <si>
    <t xml:space="preserve">взвешенная по площади</t>
  </si>
  <si>
    <t xml:space="preserve">дата первого аукциона</t>
  </si>
  <si>
    <t xml:space="preserve">самый дешёвый метр</t>
  </si>
  <si>
    <t xml:space="preserve">ОБЪЕКТ</t>
  </si>
  <si>
    <t xml:space="preserve">ХАРАКТЕРИСТИКИ</t>
  </si>
  <si>
    <t xml:space="preserve">ЦЕНА</t>
  </si>
  <si>
    <t xml:space="preserve">СРОКИ ТОРГОВ (МСК)</t>
  </si>
  <si>
    <t xml:space="preserve">ССЫЛКИ</t>
  </si>
  <si>
    <t xml:space="preserve">КОММЕНТАРИЙ</t>
  </si>
  <si>
    <t xml:space="preserve">№</t>
  </si>
  <si>
    <t xml:space="preserve">Тип объекта</t>
  </si>
  <si>
    <t xml:space="preserve">Адрес</t>
  </si>
  <si>
    <t xml:space="preserve">Округ</t>
  </si>
  <si>
    <t xml:space="preserve">Район</t>
  </si>
  <si>
    <t xml:space="preserve">Метро</t>
  </si>
  <si>
    <t xml:space="preserve">Мин. пешком до метро</t>
  </si>
  <si>
    <t xml:space="preserve">Площадь, м²</t>
  </si>
  <si>
    <t xml:space="preserve">Участок, м²</t>
  </si>
  <si>
    <t xml:space="preserve">Этаж</t>
  </si>
  <si>
    <t xml:space="preserve">Этажность</t>
  </si>
  <si>
    <t xml:space="preserve">ОКН</t>
  </si>
  <si>
    <t xml:space="preserve">Назначение</t>
  </si>
  <si>
    <t xml:space="preserve">Вход</t>
  </si>
  <si>
    <t xml:space="preserve">Арендатор</t>
  </si>
  <si>
    <t xml:space="preserve">Обременения</t>
  </si>
  <si>
    <t xml:space="preserve">Кадастровый № объекта</t>
  </si>
  <si>
    <t xml:space="preserve">Кадастровый № участка</t>
  </si>
  <si>
    <t xml:space="preserve">Начальная цена, ₽</t>
  </si>
  <si>
    <t xml:space="preserve">Цена за м², ₽</t>
  </si>
  <si>
    <t xml:space="preserve">Задаток, ₽</t>
  </si>
  <si>
    <t xml:space="preserve">Шаг аукциона, ₽</t>
  </si>
  <si>
    <t xml:space="preserve">Форма торгов</t>
  </si>
  <si>
    <t xml:space="preserve">Приём заявок с</t>
  </si>
  <si>
    <t xml:space="preserve">Приём заявок до</t>
  </si>
  <si>
    <t xml:space="preserve">Дней до конца приёма</t>
  </si>
  <si>
    <t xml:space="preserve">Отбор участников</t>
  </si>
  <si>
    <t xml:space="preserve">Дата торгов</t>
  </si>
  <si>
    <t xml:space="preserve">Подведение итогов</t>
  </si>
  <si>
    <t xml:space="preserve">Карточка</t>
  </si>
  <si>
    <t xml:space="preserve">Процедура на ЭТП</t>
  </si>
  <si>
    <t xml:space="preserve">torgi.gov.ru</t>
  </si>
  <si>
    <t xml:space="preserve">Площадка</t>
  </si>
  <si>
    <t xml:space="preserve">ID / № процедуры</t>
  </si>
  <si>
    <t xml:space="preserve">Примечание</t>
  </si>
  <si>
    <t xml:space="preserve">Нежилое помещение</t>
  </si>
  <si>
    <t xml:space="preserve">Малый Златоустинский пер., д. 8, стр. 1, этаж 1</t>
  </si>
  <si>
    <t xml:space="preserve">ЦАО</t>
  </si>
  <si>
    <t xml:space="preserve">Басманный</t>
  </si>
  <si>
    <t xml:space="preserve">Китай-город</t>
  </si>
  <si>
    <t xml:space="preserve">1</t>
  </si>
  <si>
    <t xml:space="preserve">Нет</t>
  </si>
  <si>
    <t xml:space="preserve">Свободное</t>
  </si>
  <si>
    <t xml:space="preserve">Через места общего пользования</t>
  </si>
  <si>
    <t xml:space="preserve">77:01:0001033:2521</t>
  </si>
  <si>
    <t xml:space="preserve">—</t>
  </si>
  <si>
    <t xml:space="preserve">Открытый аукцион в электронной форме</t>
  </si>
  <si>
    <t xml:space="preserve">Открыть ↗</t>
  </si>
  <si>
    <t xml:space="preserve">ЭТП ↗</t>
  </si>
  <si>
    <t xml:space="preserve">Извещение ↗</t>
  </si>
  <si>
    <t xml:space="preserve">investmoscow.ru</t>
  </si>
  <si>
    <t xml:space="preserve">20198280</t>
  </si>
  <si>
    <t xml:space="preserve">Район указан по адресному справочнику (в карточке не указан).</t>
  </si>
  <si>
    <t xml:space="preserve">Большая Никитская ул., д. 21/18, стр. 1, этаж 1</t>
  </si>
  <si>
    <t xml:space="preserve">Пресненский</t>
  </si>
  <si>
    <t xml:space="preserve">Арбатская</t>
  </si>
  <si>
    <t xml:space="preserve">Да</t>
  </si>
  <si>
    <t xml:space="preserve">Через иную собственность</t>
  </si>
  <si>
    <t xml:space="preserve">77:01:0001045:2432</t>
  </si>
  <si>
    <t xml:space="preserve">20202772</t>
  </si>
  <si>
    <t xml:space="preserve">Объект культурного наследия.</t>
  </si>
  <si>
    <t xml:space="preserve">ул. Бахрушина, д. 1, стр. 1, этаж 1, помещение 5/1</t>
  </si>
  <si>
    <t xml:space="preserve">Замоскворечье</t>
  </si>
  <si>
    <t xml:space="preserve">Павелецкая</t>
  </si>
  <si>
    <t xml:space="preserve">Через подъезд</t>
  </si>
  <si>
    <t xml:space="preserve">77:01:0002012:3735</t>
  </si>
  <si>
    <t xml:space="preserve">20208821</t>
  </si>
  <si>
    <t xml:space="preserve">Большая Сухаревская пл., д. 1/2, стр. 1, помещ. 3/1</t>
  </si>
  <si>
    <t xml:space="preserve">Мещанский</t>
  </si>
  <si>
    <t xml:space="preserve">Сухаревская</t>
  </si>
  <si>
    <t xml:space="preserve">Подвал, 1 этаж, антресоль</t>
  </si>
  <si>
    <t xml:space="preserve">в документации</t>
  </si>
  <si>
    <t xml:space="preserve">Аукцион на повышение (коммерческая процедура)</t>
  </si>
  <si>
    <t xml:space="preserve">roseltorg.ru (com)</t>
  </si>
  <si>
    <t xml:space="preserve">COM13102600087</t>
  </si>
  <si>
    <t xml:space="preserve">Продавец и организатор — АКБ «Абсолют Банк» (ПАО). Задаток — обеспечение заявки 10%. Шаг аукциона на странице не указан (он в аукционной документации). Цена с НДС 22%. Первая линия Садового кольца, 20 м от выхода метро.</t>
  </si>
  <si>
    <t xml:space="preserve">Здание + земельный участок</t>
  </si>
  <si>
    <t xml:space="preserve">Каширское ш., д. 88/26, стр. 2</t>
  </si>
  <si>
    <t xml:space="preserve">ЮАО</t>
  </si>
  <si>
    <t xml:space="preserve">Орехово-Борисово Северное</t>
  </si>
  <si>
    <t xml:space="preserve">Домодедовская</t>
  </si>
  <si>
    <t xml:space="preserve">77:05:0011002:1086</t>
  </si>
  <si>
    <t xml:space="preserve">77:05:0011002:93</t>
  </si>
  <si>
    <t xml:space="preserve">20208859</t>
  </si>
  <si>
    <t xml:space="preserve">Цена за м² считается по площади здания.</t>
  </si>
  <si>
    <t xml:space="preserve">Неглинная ул., д. 18/1, стр. 2</t>
  </si>
  <si>
    <t xml:space="preserve">Трубная</t>
  </si>
  <si>
    <t xml:space="preserve">77:01:0001080:1014</t>
  </si>
  <si>
    <t xml:space="preserve">77:01:0001080:2978</t>
  </si>
  <si>
    <t xml:space="preserve">20209390</t>
  </si>
  <si>
    <t xml:space="preserve">ул. Покровка, д. 19, этаж 1</t>
  </si>
  <si>
    <t xml:space="preserve">Чистые пруды</t>
  </si>
  <si>
    <t xml:space="preserve">Через подъезд, отдельный</t>
  </si>
  <si>
    <t xml:space="preserve">77:01:0001029:4191</t>
  </si>
  <si>
    <t xml:space="preserve">20212872</t>
  </si>
  <si>
    <t xml:space="preserve">Здание</t>
  </si>
  <si>
    <t xml:space="preserve">Пятницкая ул., д. 15</t>
  </si>
  <si>
    <t xml:space="preserve">Новокузнецкая</t>
  </si>
  <si>
    <t xml:space="preserve">77:01:0002018:1071</t>
  </si>
  <si>
    <t xml:space="preserve">20182722</t>
  </si>
  <si>
    <t xml:space="preserve">В вашем списке ссылка была дважды. Вид цены — «плата за право заключения договора купли-продажи». Процедура по 178-ФЗ, ссылки на torgi.gov.ru в карточке нет. Объект культурного наследия.</t>
  </si>
  <si>
    <t xml:space="preserve">Краснопрудная ул., д. 3Б (земельный участок 3/5/1), здание Ярославского ПЖДП</t>
  </si>
  <si>
    <t xml:space="preserve">Красносельский</t>
  </si>
  <si>
    <t xml:space="preserve">Красносельская</t>
  </si>
  <si>
    <t xml:space="preserve">Услуги связи (ВРИ участка 3.2.3)</t>
  </si>
  <si>
    <t xml:space="preserve">По выписке ЕГРН</t>
  </si>
  <si>
    <t xml:space="preserve">77:01:0003036:1085</t>
  </si>
  <si>
    <t xml:space="preserve">77:01:0003036:4449</t>
  </si>
  <si>
    <t xml:space="preserve">Электронный аукцион на повышение (178-ФЗ)</t>
  </si>
  <si>
    <t xml:space="preserve">roseltorg.ru</t>
  </si>
  <si>
    <t xml:space="preserve">21000003370000000430</t>
  </si>
  <si>
    <t xml:space="preserve">Продавец — АО «Почта России», организатор — АО ИФК «Солид». Продаётся единым лотом: здание 1 259,3 м² и участок 621 ± 9 м² (общая площадь 1 880,3 м²). Задаток 20%. Цена, задаток и шаг указаны в извещении torgi.gov.ru (данные взяты с зеркала torgi-ru.com, лот 8152317).</t>
  </si>
  <si>
    <t xml:space="preserve">КАК ПОЛЬЗОВАТЬСЯ</t>
  </si>
  <si>
    <t xml:space="preserve">▲▼ Сортировка: нажмите стрелку в заголовке любого столбца → «Сортировка по возрастанию». Там же работает фильтр; карточки сверху пересчитываются по видимым строкам.</t>
  </si>
  <si>
    <t xml:space="preserve">Лист «Сортировка»: выберите показатель и порядок в выпадающих списках — рейтинг перестроится сам.</t>
  </si>
  <si>
    <t xml:space="preserve">Цвета: «Дней до конца приёма» — красный ≤ 14, жёлтый ≤ 30, зелёный &gt; 30. ОКН «Да» — объект культурного наследия. Полосы — относительная величина цены.</t>
  </si>
  <si>
    <t xml:space="preserve">ИСТОЧНИКИ И ДОПУЩЕНИЯ</t>
  </si>
  <si>
    <t xml:space="preserve">• Источники: карточки investmoscow.ru (блок «О процедуре»), страницы процедур roseltorg.ru, извещение torgi.gov.ru 21000003370000000430 (через зеркало torgi-ru.com) и объявление Абсолют Банка на ЦИАН (площадь лота COM13102600087). Состояние на 20.10.2026.</t>
  </si>
  <si>
    <t xml:space="preserve">• Ссылка investmoscow.ru/tenders/tender/20182722 повторялась в списке дважды, в реестре она одна строка.</t>
  </si>
  <si>
    <t xml:space="preserve">• «Цена за м²», «Дней до конца приёма» и карточки-итоги сверху считаются формулами и пересчитываются сами.</t>
  </si>
  <si>
    <t xml:space="preserve">• Площадь ЗУ для зданий взята из заголовка карточки (в поле «Площадь земельного участка» стоит «Не указано»).</t>
  </si>
  <si>
    <t xml:space="preserve">Рейтинг объектов</t>
  </si>
  <si>
    <t xml:space="preserve">Выберите показатель и порядок — таблица ниже отсортируется автоматически</t>
  </si>
  <si>
    <t xml:space="preserve">Сортировать по</t>
  </si>
  <si>
    <t xml:space="preserve">◀ выпадающий список</t>
  </si>
  <si>
    <t xml:space="preserve">Порядок</t>
  </si>
  <si>
    <t xml:space="preserve">По возрастанию</t>
  </si>
  <si>
    <t xml:space="preserve">Место</t>
  </si>
  <si>
    <t xml:space="preserve">Значение показателя</t>
  </si>
  <si>
    <t xml:space="preserve">Дней до конца</t>
  </si>
  <si>
    <t xml:space="preserve">Пустые значения (например, шаг аукциона, указанный только в документации) всегда идут в конце списка.</t>
  </si>
  <si>
    <t xml:space="preserve">По убыванию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</si>
</sst>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#,##0.0,,&quot; млн ₽&quot;"/>
    <numFmt numFmtId="167" formatCode="#,##0&quot; м²&quot;"/>
    <numFmt numFmtId="168" formatCode="#,##0&quot; ₽&quot;"/>
    <numFmt numFmtId="169" formatCode="dd\.mm\.yyyy"/>
    <numFmt numFmtId="170" formatCode="#,##0.0"/>
    <numFmt numFmtId="171" formatCode="#,##0"/>
    <numFmt numFmtId="172" formatCode="#,##0.00&quot; ₽&quot;"/>
    <numFmt numFmtId="173" formatCode="dd\.mm\.yyyy\ hh:mm"/>
    <numFmt numFmtId="174" formatCode="General"/>
    <numFmt numFmtId="175" formatCode="#,##0.##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i val="true"/>
      <sz val="10"/>
      <color rgb="FFC7D0E5"/>
      <name val="Arial"/>
      <family val="0"/>
      <charset val="1"/>
    </font>
    <font>
      <b val="true"/>
      <sz val="8"/>
      <color rgb="FF6B7280"/>
      <name val="Arial"/>
      <family val="0"/>
      <charset val="1"/>
    </font>
    <font>
      <b val="true"/>
      <sz val="18"/>
      <color rgb="FF17223B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1F2937"/>
      <name val="Arial"/>
      <family val="0"/>
      <charset val="1"/>
    </font>
    <font>
      <b val="true"/>
      <sz val="9"/>
      <color rgb="FF1F2937"/>
      <name val="Arial"/>
      <family val="0"/>
      <charset val="1"/>
    </font>
    <font>
      <b val="true"/>
      <sz val="10"/>
      <color rgb="FF17223B"/>
      <name val="Arial"/>
      <family val="0"/>
      <charset val="1"/>
    </font>
    <font>
      <u val="single"/>
      <sz val="9"/>
      <color rgb="FF1D4ED8"/>
      <name val="Arial"/>
      <family val="0"/>
      <charset val="1"/>
    </font>
    <font>
      <b val="true"/>
      <sz val="9"/>
      <color rgb="FF17223B"/>
      <name val="Arial"/>
      <family val="0"/>
      <charset val="1"/>
    </font>
    <font>
      <sz val="9"/>
      <color rgb="FF6B7280"/>
      <name val="Arial"/>
      <family val="0"/>
      <charset val="1"/>
    </font>
    <font>
      <sz val="10"/>
      <name val="Arial"/>
      <family val="2"/>
    </font>
    <font>
      <b val="true"/>
      <sz val="18"/>
      <color rgb="FFFFFFFF"/>
      <name val="Arial"/>
      <family val="0"/>
      <charset val="1"/>
    </font>
    <font>
      <b val="true"/>
      <sz val="11"/>
      <color rgb="FF0F766E"/>
      <name val="Arial"/>
      <family val="0"/>
      <charset val="1"/>
    </font>
    <font>
      <b val="true"/>
      <sz val="11"/>
      <color rgb="FF17223B"/>
      <name val="Arial"/>
      <family val="0"/>
      <charset val="1"/>
    </font>
    <font>
      <b val="true"/>
      <sz val="10"/>
      <color rgb="FF0F766E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7223B"/>
        <bgColor rgb="FF1F2937"/>
      </patternFill>
    </fill>
    <fill>
      <patternFill patternType="solid">
        <fgColor rgb="FFC9A227"/>
        <bgColor rgb="FF99CC00"/>
      </patternFill>
    </fill>
    <fill>
      <patternFill patternType="solid">
        <fgColor rgb="FFF4F6FA"/>
        <bgColor rgb="FFF8FAFC"/>
      </patternFill>
    </fill>
    <fill>
      <patternFill patternType="solid">
        <fgColor rgb="FF2B3A67"/>
        <bgColor rgb="FF1F2937"/>
      </patternFill>
    </fill>
    <fill>
      <patternFill patternType="solid">
        <fgColor rgb="FF3D5A80"/>
        <bgColor rgb="FF4B5563"/>
      </patternFill>
    </fill>
    <fill>
      <patternFill patternType="solid">
        <fgColor rgb="FF0F766E"/>
        <bgColor rgb="FF008080"/>
      </patternFill>
    </fill>
    <fill>
      <patternFill patternType="solid">
        <fgColor rgb="FF8A5A00"/>
        <bgColor rgb="FF92400E"/>
      </patternFill>
    </fill>
    <fill>
      <patternFill patternType="solid">
        <fgColor rgb="FF4B5563"/>
        <bgColor rgb="FF3D5A80"/>
      </patternFill>
    </fill>
    <fill>
      <patternFill patternType="solid">
        <fgColor rgb="FF6B7280"/>
        <bgColor rgb="FF808080"/>
      </patternFill>
    </fill>
    <fill>
      <patternFill patternType="solid">
        <fgColor rgb="FFECFDF5"/>
        <bgColor rgb="FFF4F6FA"/>
      </patternFill>
    </fill>
    <fill>
      <patternFill patternType="solid">
        <fgColor rgb="FFFDE68A"/>
        <bgColor rgb="FFFED7AA"/>
      </patternFill>
    </fill>
    <fill>
      <patternFill patternType="solid">
        <fgColor rgb="FFE5E7EB"/>
        <bgColor rgb="FFD9DEE8"/>
      </patternFill>
    </fill>
    <fill>
      <patternFill patternType="solid">
        <fgColor rgb="FFF8FAFC"/>
        <bgColor rgb="FFF4F6FA"/>
      </patternFill>
    </fill>
    <fill>
      <patternFill patternType="solid">
        <fgColor rgb="FFFED7AA"/>
        <bgColor rgb="FFFDE68A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ck">
        <color rgb="FFC9A227"/>
      </left>
      <right/>
      <top/>
      <bottom/>
      <diagonal/>
    </border>
    <border diagonalUp="false" diagonalDown="false">
      <left/>
      <right style="thin">
        <color rgb="FFFFFFFF"/>
      </right>
      <top/>
      <bottom/>
      <diagonal/>
    </border>
    <border diagonalUp="false" diagonalDown="false">
      <left/>
      <right style="thin">
        <color rgb="FF2B3A67"/>
      </right>
      <top/>
      <bottom style="medium">
        <color rgb="FFC9A227"/>
      </bottom>
      <diagonal/>
    </border>
    <border diagonalUp="false" diagonalDown="false">
      <left/>
      <right/>
      <top/>
      <bottom style="thin">
        <color rgb="FFD9DEE8"/>
      </bottom>
      <diagonal/>
    </border>
    <border diagonalUp="false" diagonalDown="false">
      <left style="medium">
        <color rgb="FF0F766E"/>
      </left>
      <right style="medium">
        <color rgb="FF0F766E"/>
      </right>
      <top style="medium">
        <color rgb="FF0F766E"/>
      </top>
      <bottom style="medium">
        <color rgb="FF0F766E"/>
      </bottom>
      <diagonal/>
    </border>
    <border diagonalUp="false" diagonalDown="false">
      <left/>
      <right/>
      <top/>
      <bottom style="medium">
        <color rgb="FFC9A22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7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7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7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7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7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2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8" fillId="1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4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14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0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4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7223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DE68A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ont>
        <name val="Arial"/>
        <charset val="1"/>
        <family val="0"/>
        <b val="1"/>
        <color rgb="FF92400E"/>
      </font>
      <fill>
        <patternFill>
          <bgColor rgb="FFFDE68A"/>
        </patternFill>
      </fill>
    </dxf>
    <dxf>
      <font>
        <name val="Arial"/>
        <charset val="1"/>
        <family val="0"/>
        <b val="1"/>
        <color rgb="FFB91C1C"/>
      </font>
      <fill>
        <patternFill>
          <bgColor rgb="FFFEE2E2"/>
        </patternFill>
      </fill>
    </dxf>
    <dxf>
      <font>
        <name val="Arial"/>
        <charset val="1"/>
        <family val="0"/>
        <b val="1"/>
        <color rgb="FF92400E"/>
      </font>
      <fill>
        <patternFill>
          <bgColor rgb="FFFEF3C7"/>
        </patternFill>
      </fill>
    </dxf>
    <dxf>
      <font>
        <name val="Arial"/>
        <charset val="1"/>
        <family val="0"/>
        <b val="1"/>
        <color rgb="FF166534"/>
      </font>
      <fill>
        <patternFill>
          <bgColor rgb="FFDCFC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A5A00"/>
      <rgbColor rgb="FF800080"/>
      <rgbColor rgb="FF0F766E"/>
      <rgbColor rgb="FFD9DEE8"/>
      <rgbColor rgb="FF808080"/>
      <rgbColor rgb="FF9999FF"/>
      <rgbColor rgb="FFB91C1C"/>
      <rgbColor rgb="FFFEF3C7"/>
      <rgbColor rgb="FFDCFCE7"/>
      <rgbColor rgb="FF660066"/>
      <rgbColor rgb="FFFF8080"/>
      <rgbColor rgb="FF1D4ED8"/>
      <rgbColor rgb="FFC7D0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CFDF5"/>
      <rgbColor rgb="FFE5E7EB"/>
      <rgbColor rgb="FFFDE68A"/>
      <rgbColor rgb="FFF4F6FA"/>
      <rgbColor rgb="FFFEE2E2"/>
      <rgbColor rgb="FFF8FAFC"/>
      <rgbColor rgb="FFFED7AA"/>
      <rgbColor rgb="FF3D5A80"/>
      <rgbColor rgb="FF33CCCC"/>
      <rgbColor rgb="FF99CC00"/>
      <rgbColor rgb="FFFFCC00"/>
      <rgbColor rgb="FFC9A227"/>
      <rgbColor rgb="FFFF6600"/>
      <rgbColor rgb="FF6B7280"/>
      <rgbColor rgb="FF969696"/>
      <rgbColor rgb="FF17223B"/>
      <rgbColor rgb="FF339966"/>
      <rgbColor rgb="FF003300"/>
      <rgbColor rgb="FF4B5563"/>
      <rgbColor rgb="FF92400E"/>
      <rgbColor rgb="FF993366"/>
      <rgbColor rgb="FF2B3A67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Reestr" displayName="Reestr" ref="A10:AI19" headerRowCount="1" totalsRowCount="0" totalsRowShown="0">
  <autoFilter ref="A10:AI19"/>
  <tableColumns count="35">
    <tableColumn id="1" name="№"/>
    <tableColumn id="2" name="Тип объекта"/>
    <tableColumn id="3" name="Адрес"/>
    <tableColumn id="4" name="Округ"/>
    <tableColumn id="5" name="Район"/>
    <tableColumn id="6" name="Метро"/>
    <tableColumn id="7" name="Мин. пешком до метро"/>
    <tableColumn id="8" name="Площадь, м²"/>
    <tableColumn id="9" name="Участок, м²"/>
    <tableColumn id="10" name="Этаж"/>
    <tableColumn id="11" name="Этажность"/>
    <tableColumn id="12" name="ОКН"/>
    <tableColumn id="13" name="Назначение"/>
    <tableColumn id="14" name="Вход"/>
    <tableColumn id="15" name="Арендатор"/>
    <tableColumn id="16" name="Обременения"/>
    <tableColumn id="17" name="Кадастровый № объекта"/>
    <tableColumn id="18" name="Кадастровый № участка"/>
    <tableColumn id="19" name="Начальная цена, ₽"/>
    <tableColumn id="20" name="Цена за м², ₽"/>
    <tableColumn id="21" name="Задаток, ₽"/>
    <tableColumn id="22" name="Шаг аукциона, ₽"/>
    <tableColumn id="23" name="Форма торгов"/>
    <tableColumn id="24" name="Приём заявок с"/>
    <tableColumn id="25" name="Приём заявок до"/>
    <tableColumn id="26" name="Дней до конца приёма"/>
    <tableColumn id="27" name="Отбор участников"/>
    <tableColumn id="28" name="Дата торгов"/>
    <tableColumn id="29" name="Подведение итогов"/>
    <tableColumn id="30" name="Карточка"/>
    <tableColumn id="31" name="Процедура на ЭТП"/>
    <tableColumn id="32" name="torgi.gov.ru"/>
    <tableColumn id="33" name="Площадка"/>
    <tableColumn id="34" name="ID / № процедуры"/>
    <tableColumn id="35" name="Примечание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investmoscow.ru/tenders/tender/20198280" TargetMode="External"/><Relationship Id="rId3" Type="http://schemas.openxmlformats.org/officeDocument/2006/relationships/hyperlink" Target="https://www.roseltorg.ru/procedure/21000005000000033634/1" TargetMode="External"/><Relationship Id="rId4" Type="http://schemas.openxmlformats.org/officeDocument/2006/relationships/hyperlink" Target="https://torgi.gov.ru/new/public/notices/view/21000005000000033634" TargetMode="External"/><Relationship Id="rId5" Type="http://schemas.openxmlformats.org/officeDocument/2006/relationships/hyperlink" Target="https://investmoscow.ru/tenders/tender/20202772" TargetMode="External"/><Relationship Id="rId6" Type="http://schemas.openxmlformats.org/officeDocument/2006/relationships/hyperlink" Target="https://www.roseltorg.ru/procedure/21000005000000033929/1" TargetMode="External"/><Relationship Id="rId7" Type="http://schemas.openxmlformats.org/officeDocument/2006/relationships/hyperlink" Target="https://torgi.gov.ru/new/public/notices/view/21000005000000033929" TargetMode="External"/><Relationship Id="rId8" Type="http://schemas.openxmlformats.org/officeDocument/2006/relationships/hyperlink" Target="https://investmoscow.ru/tenders/tender/20208821" TargetMode="External"/><Relationship Id="rId9" Type="http://schemas.openxmlformats.org/officeDocument/2006/relationships/hyperlink" Target="https://www.roseltorg.ru/procedure/21000005000000034190/1" TargetMode="External"/><Relationship Id="rId10" Type="http://schemas.openxmlformats.org/officeDocument/2006/relationships/hyperlink" Target="https://torgi.gov.ru/new/public/notices/view/21000005000000034190" TargetMode="External"/><Relationship Id="rId11" Type="http://schemas.openxmlformats.org/officeDocument/2006/relationships/hyperlink" Target="https://www.roseltorg.ru/procedure/COM13102600087/1" TargetMode="External"/><Relationship Id="rId12" Type="http://schemas.openxmlformats.org/officeDocument/2006/relationships/hyperlink" Target="https://www.roseltorg.ru/procedure/COM13102600087/1" TargetMode="External"/><Relationship Id="rId13" Type="http://schemas.openxmlformats.org/officeDocument/2006/relationships/hyperlink" Target="https://investmoscow.ru/tenders/tender/20208859" TargetMode="External"/><Relationship Id="rId14" Type="http://schemas.openxmlformats.org/officeDocument/2006/relationships/hyperlink" Target="https://www.roseltorg.ru/procedure/21000005000000034221/1" TargetMode="External"/><Relationship Id="rId15" Type="http://schemas.openxmlformats.org/officeDocument/2006/relationships/hyperlink" Target="https://torgi.gov.ru/new/public/notices/view/21000005000000034221" TargetMode="External"/><Relationship Id="rId16" Type="http://schemas.openxmlformats.org/officeDocument/2006/relationships/hyperlink" Target="https://investmoscow.ru/tenders/tender/20209390" TargetMode="External"/><Relationship Id="rId17" Type="http://schemas.openxmlformats.org/officeDocument/2006/relationships/hyperlink" Target="https://www.roseltorg.ru/procedure/21000005000000034236/1" TargetMode="External"/><Relationship Id="rId18" Type="http://schemas.openxmlformats.org/officeDocument/2006/relationships/hyperlink" Target="https://torgi.gov.ru/new/public/notices/view/21000005000000034236" TargetMode="External"/><Relationship Id="rId19" Type="http://schemas.openxmlformats.org/officeDocument/2006/relationships/hyperlink" Target="https://investmoscow.ru/tenders/tender/20212872" TargetMode="External"/><Relationship Id="rId20" Type="http://schemas.openxmlformats.org/officeDocument/2006/relationships/hyperlink" Target="https://www.roseltorg.ru/procedure/21000005000000034406" TargetMode="External"/><Relationship Id="rId21" Type="http://schemas.openxmlformats.org/officeDocument/2006/relationships/hyperlink" Target="https://torgi.gov.ru/new/public/notices/view/21000005000000034406" TargetMode="External"/><Relationship Id="rId22" Type="http://schemas.openxmlformats.org/officeDocument/2006/relationships/hyperlink" Target="https://investmoscow.ru/tenders/tender/20182722" TargetMode="External"/><Relationship Id="rId23" Type="http://schemas.openxmlformats.org/officeDocument/2006/relationships/hyperlink" Target="https://www.roseltorg.ru/procedure/178fz17092600002/1" TargetMode="External"/><Relationship Id="rId24" Type="http://schemas.openxmlformats.org/officeDocument/2006/relationships/hyperlink" Target="https://www.roseltorg.ru/procedure/21000003370000000430/1" TargetMode="External"/><Relationship Id="rId25" Type="http://schemas.openxmlformats.org/officeDocument/2006/relationships/hyperlink" Target="https://www.roseltorg.ru/procedure/21000003370000000430/1" TargetMode="External"/><Relationship Id="rId26" Type="http://schemas.openxmlformats.org/officeDocument/2006/relationships/hyperlink" Target="https://torgi.gov.ru/new/public/notices/view/21000003370000000430" TargetMode="External"/><Relationship Id="rId27" Type="http://schemas.openxmlformats.org/officeDocument/2006/relationships/vmlDrawing" Target="../drawings/vmlDrawing1.vml"/><Relationship Id="rId28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223B"/>
    <pageSetUpPr fitToPage="true"/>
  </sheetPr>
  <dimension ref="A1:AI3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38"/>
    <col collapsed="false" customWidth="true" hidden="false" outlineLevel="0" max="4" min="4" style="0" width="7"/>
    <col collapsed="false" customWidth="true" hidden="false" outlineLevel="0" max="5" min="5" style="0" width="16"/>
    <col collapsed="false" customWidth="true" hidden="false" outlineLevel="0" max="6" min="6" style="0" width="15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7"/>
    <col collapsed="false" customWidth="true" hidden="false" outlineLevel="0" max="13" min="13" style="0" width="14"/>
    <col collapsed="false" customWidth="true" hidden="false" outlineLevel="0" max="14" min="14" style="0" width="18"/>
    <col collapsed="false" customWidth="true" hidden="false" outlineLevel="0" max="15" min="15" style="0" width="10"/>
    <col collapsed="false" customWidth="true" hidden="false" outlineLevel="0" max="16" min="16" style="0" width="12"/>
    <col collapsed="false" customWidth="true" hidden="false" outlineLevel="0" max="18" min="17" style="0" width="21"/>
    <col collapsed="false" customWidth="true" hidden="false" outlineLevel="0" max="19" min="19" style="0" width="17"/>
    <col collapsed="false" customWidth="true" hidden="false" outlineLevel="0" max="20" min="20" style="0" width="14"/>
    <col collapsed="false" customWidth="true" hidden="false" outlineLevel="0" max="21" min="21" style="0" width="15"/>
    <col collapsed="false" customWidth="true" hidden="false" outlineLevel="0" max="22" min="22" style="0" width="14"/>
    <col collapsed="false" customWidth="true" hidden="false" outlineLevel="0" max="23" min="23" style="0" width="22"/>
    <col collapsed="false" customWidth="true" hidden="false" outlineLevel="0" max="25" min="24" style="0" width="15"/>
    <col collapsed="false" customWidth="true" hidden="false" outlineLevel="0" max="26" min="26" style="0" width="10"/>
    <col collapsed="false" customWidth="true" hidden="false" outlineLevel="0" max="29" min="27" style="0" width="15"/>
    <col collapsed="false" customWidth="true" hidden="false" outlineLevel="0" max="30" min="30" style="0" width="10"/>
    <col collapsed="false" customWidth="true" hidden="false" outlineLevel="0" max="32" min="31" style="0" width="11"/>
    <col collapsed="false" customWidth="true" hidden="false" outlineLevel="0" max="33" min="33" style="0" width="15"/>
    <col collapsed="false" customWidth="true" hidden="false" outlineLevel="0" max="34" min="34" style="0" width="22"/>
    <col collapsed="false" customWidth="true" hidden="false" outlineLevel="0" max="35" min="35" style="0" width="55"/>
  </cols>
  <sheetData>
    <row r="1" customFormat="false" ht="37.5" hidden="false" customHeight="true" outlineLevel="0" collapsed="false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customFormat="false" ht="19.5" hidden="false" customHeight="true" outlineLevel="0" collapsed="false">
      <c r="A2" s="1"/>
      <c r="B2" s="3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</row>
    <row r="3" customFormat="false" ht="3.7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 customFormat="false" ht="9.75" hidden="false" customHeight="true" outlineLevel="0" collapsed="false"/>
    <row r="5" customFormat="false" ht="18" hidden="false" customHeight="true" outlineLevel="0" collapsed="false">
      <c r="B5" s="5" t="s">
        <v>2</v>
      </c>
      <c r="C5" s="5"/>
      <c r="E5" s="5" t="s">
        <v>3</v>
      </c>
      <c r="F5" s="5"/>
      <c r="G5" s="5"/>
      <c r="I5" s="5" t="s">
        <v>4</v>
      </c>
      <c r="J5" s="5"/>
      <c r="K5" s="5"/>
      <c r="M5" s="5" t="s">
        <v>5</v>
      </c>
      <c r="N5" s="5"/>
      <c r="O5" s="5"/>
      <c r="Q5" s="5" t="s">
        <v>6</v>
      </c>
      <c r="R5" s="5"/>
      <c r="T5" s="5" t="s">
        <v>7</v>
      </c>
      <c r="U5" s="5"/>
    </row>
    <row r="6" customFormat="false" ht="33.75" hidden="false" customHeight="true" outlineLevel="0" collapsed="false">
      <c r="B6" s="6" t="n">
        <f aca="false">SUBTOTAL(103,$C$11:$C$19)</f>
        <v>9</v>
      </c>
      <c r="C6" s="6"/>
      <c r="E6" s="7" t="n">
        <f aca="false">SUBTOTAL(109,$S$11:$S$19)</f>
        <v>1342354981</v>
      </c>
      <c r="F6" s="7"/>
      <c r="G6" s="7"/>
      <c r="I6" s="8" t="n">
        <f aca="false">SUBTOTAL(109,$H$11:$H$19)</f>
        <v>4791.3</v>
      </c>
      <c r="J6" s="8"/>
      <c r="K6" s="8"/>
      <c r="M6" s="9" t="n">
        <f aca="false">IFERROR(SUBTOTAL(109,$S$11:$S$19)/SUBTOTAL(109,$H$11:$H$19),0)</f>
        <v>280165.086928391</v>
      </c>
      <c r="N6" s="9"/>
      <c r="O6" s="9"/>
      <c r="Q6" s="10" t="n">
        <f aca="false">SUBTOTAL(105,$AB$11:$AB$19)</f>
        <v>46343.4166666667</v>
      </c>
      <c r="R6" s="10"/>
      <c r="T6" s="9" t="n">
        <f aca="false">SUBTOTAL(105,$T$11:$T$19)</f>
        <v>176887.454079929</v>
      </c>
      <c r="U6" s="9"/>
    </row>
    <row r="7" customFormat="false" ht="15.75" hidden="false" customHeight="true" outlineLevel="0" collapsed="false">
      <c r="B7" s="11" t="s">
        <v>8</v>
      </c>
      <c r="C7" s="11"/>
      <c r="E7" s="11" t="s">
        <v>9</v>
      </c>
      <c r="F7" s="11"/>
      <c r="G7" s="11"/>
      <c r="I7" s="11" t="s">
        <v>10</v>
      </c>
      <c r="J7" s="11"/>
      <c r="K7" s="11"/>
      <c r="M7" s="11" t="s">
        <v>11</v>
      </c>
      <c r="N7" s="11"/>
      <c r="O7" s="11"/>
      <c r="Q7" s="11" t="s">
        <v>12</v>
      </c>
      <c r="R7" s="11"/>
      <c r="T7" s="11" t="s">
        <v>13</v>
      </c>
      <c r="U7" s="11"/>
    </row>
    <row r="8" customFormat="false" ht="12" hidden="false" customHeight="true" outlineLevel="0" collapsed="false"/>
    <row r="9" customFormat="false" ht="19.5" hidden="false" customHeight="true" outlineLevel="0" collapsed="false">
      <c r="A9" s="12" t="s">
        <v>14</v>
      </c>
      <c r="B9" s="12"/>
      <c r="C9" s="12"/>
      <c r="D9" s="12"/>
      <c r="E9" s="12"/>
      <c r="F9" s="12"/>
      <c r="G9" s="12"/>
      <c r="H9" s="13" t="s">
        <v>15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4" t="s">
        <v>16</v>
      </c>
      <c r="T9" s="14"/>
      <c r="U9" s="14"/>
      <c r="V9" s="14"/>
      <c r="W9" s="14"/>
      <c r="X9" s="15" t="s">
        <v>17</v>
      </c>
      <c r="Y9" s="15"/>
      <c r="Z9" s="15"/>
      <c r="AA9" s="15"/>
      <c r="AB9" s="15"/>
      <c r="AC9" s="15"/>
      <c r="AD9" s="16" t="s">
        <v>18</v>
      </c>
      <c r="AE9" s="16"/>
      <c r="AF9" s="16"/>
      <c r="AG9" s="16"/>
      <c r="AH9" s="16"/>
      <c r="AI9" s="17" t="s">
        <v>19</v>
      </c>
    </row>
    <row r="10" customFormat="false" ht="45.75" hidden="false" customHeight="true" outlineLevel="0" collapsed="false">
      <c r="A10" s="18" t="s">
        <v>20</v>
      </c>
      <c r="B10" s="18" t="s">
        <v>21</v>
      </c>
      <c r="C10" s="18" t="s">
        <v>22</v>
      </c>
      <c r="D10" s="18" t="s">
        <v>23</v>
      </c>
      <c r="E10" s="18" t="s">
        <v>24</v>
      </c>
      <c r="F10" s="18" t="s">
        <v>25</v>
      </c>
      <c r="G10" s="18" t="s">
        <v>26</v>
      </c>
      <c r="H10" s="18" t="s">
        <v>27</v>
      </c>
      <c r="I10" s="18" t="s">
        <v>28</v>
      </c>
      <c r="J10" s="18" t="s">
        <v>29</v>
      </c>
      <c r="K10" s="18" t="s">
        <v>30</v>
      </c>
      <c r="L10" s="18" t="s">
        <v>31</v>
      </c>
      <c r="M10" s="18" t="s">
        <v>32</v>
      </c>
      <c r="N10" s="18" t="s">
        <v>33</v>
      </c>
      <c r="O10" s="18" t="s">
        <v>34</v>
      </c>
      <c r="P10" s="18" t="s">
        <v>35</v>
      </c>
      <c r="Q10" s="18" t="s">
        <v>36</v>
      </c>
      <c r="R10" s="18" t="s">
        <v>37</v>
      </c>
      <c r="S10" s="18" t="s">
        <v>38</v>
      </c>
      <c r="T10" s="18" t="s">
        <v>39</v>
      </c>
      <c r="U10" s="18" t="s">
        <v>40</v>
      </c>
      <c r="V10" s="18" t="s">
        <v>41</v>
      </c>
      <c r="W10" s="18" t="s">
        <v>42</v>
      </c>
      <c r="X10" s="18" t="s">
        <v>43</v>
      </c>
      <c r="Y10" s="18" t="s">
        <v>44</v>
      </c>
      <c r="Z10" s="18" t="s">
        <v>45</v>
      </c>
      <c r="AA10" s="18" t="s">
        <v>46</v>
      </c>
      <c r="AB10" s="18" t="s">
        <v>47</v>
      </c>
      <c r="AC10" s="18" t="s">
        <v>48</v>
      </c>
      <c r="AD10" s="18" t="s">
        <v>49</v>
      </c>
      <c r="AE10" s="18" t="s">
        <v>50</v>
      </c>
      <c r="AF10" s="18" t="s">
        <v>51</v>
      </c>
      <c r="AG10" s="18" t="s">
        <v>52</v>
      </c>
      <c r="AH10" s="18" t="s">
        <v>53</v>
      </c>
      <c r="AI10" s="18" t="s">
        <v>54</v>
      </c>
    </row>
    <row r="11" customFormat="false" ht="48" hidden="false" customHeight="true" outlineLevel="0" collapsed="false">
      <c r="A11" s="19" t="n">
        <v>1</v>
      </c>
      <c r="B11" s="20" t="s">
        <v>55</v>
      </c>
      <c r="C11" s="21" t="s">
        <v>56</v>
      </c>
      <c r="D11" s="19" t="s">
        <v>57</v>
      </c>
      <c r="E11" s="22" t="s">
        <v>58</v>
      </c>
      <c r="F11" s="22" t="s">
        <v>59</v>
      </c>
      <c r="G11" s="19" t="n">
        <v>5</v>
      </c>
      <c r="H11" s="23" t="n">
        <v>42.3</v>
      </c>
      <c r="I11" s="24"/>
      <c r="J11" s="20" t="s">
        <v>60</v>
      </c>
      <c r="K11" s="19" t="n">
        <v>3</v>
      </c>
      <c r="L11" s="19" t="s">
        <v>61</v>
      </c>
      <c r="M11" s="20" t="s">
        <v>62</v>
      </c>
      <c r="N11" s="20" t="s">
        <v>63</v>
      </c>
      <c r="O11" s="19" t="s">
        <v>61</v>
      </c>
      <c r="P11" s="19" t="s">
        <v>61</v>
      </c>
      <c r="Q11" s="22" t="s">
        <v>64</v>
      </c>
      <c r="R11" s="22" t="s">
        <v>65</v>
      </c>
      <c r="S11" s="25" t="n">
        <v>15384000</v>
      </c>
      <c r="T11" s="26" t="n">
        <f aca="false">IF(AND(ISNUMBER(S11),ISNUMBER(H11),H11&gt;0),S11/H11,"")</f>
        <v>363687.943262411</v>
      </c>
      <c r="U11" s="27" t="n">
        <v>1538400</v>
      </c>
      <c r="V11" s="27" t="n">
        <v>769200</v>
      </c>
      <c r="W11" s="20" t="s">
        <v>66</v>
      </c>
      <c r="X11" s="28" t="n">
        <v>46279.8333333333</v>
      </c>
      <c r="Y11" s="28" t="n">
        <v>46335.625</v>
      </c>
      <c r="Z11" s="29" t="n">
        <f aca="true">IF(ISNUMBER(Y11),MAX(0,INT(Y11-TODAY())),"")</f>
        <v>20</v>
      </c>
      <c r="AA11" s="28" t="n">
        <v>46342.4166666667</v>
      </c>
      <c r="AB11" s="28" t="n">
        <v>46344.4166666667</v>
      </c>
      <c r="AC11" s="28" t="n">
        <v>46344.7083333333</v>
      </c>
      <c r="AD11" s="30" t="s">
        <v>67</v>
      </c>
      <c r="AE11" s="30" t="s">
        <v>68</v>
      </c>
      <c r="AF11" s="30" t="s">
        <v>69</v>
      </c>
      <c r="AG11" s="22" t="s">
        <v>70</v>
      </c>
      <c r="AH11" s="22" t="s">
        <v>71</v>
      </c>
      <c r="AI11" s="20" t="s">
        <v>72</v>
      </c>
    </row>
    <row r="12" customFormat="false" ht="48" hidden="false" customHeight="true" outlineLevel="0" collapsed="false">
      <c r="A12" s="19" t="n">
        <v>2</v>
      </c>
      <c r="B12" s="20" t="s">
        <v>55</v>
      </c>
      <c r="C12" s="21" t="s">
        <v>73</v>
      </c>
      <c r="D12" s="19" t="s">
        <v>57</v>
      </c>
      <c r="E12" s="22" t="s">
        <v>74</v>
      </c>
      <c r="F12" s="22" t="s">
        <v>75</v>
      </c>
      <c r="G12" s="19" t="n">
        <v>9</v>
      </c>
      <c r="H12" s="23" t="n">
        <v>13.1</v>
      </c>
      <c r="I12" s="24"/>
      <c r="J12" s="20" t="s">
        <v>60</v>
      </c>
      <c r="K12" s="19" t="n">
        <v>2</v>
      </c>
      <c r="L12" s="19" t="s">
        <v>76</v>
      </c>
      <c r="M12" s="20" t="s">
        <v>62</v>
      </c>
      <c r="N12" s="20" t="s">
        <v>77</v>
      </c>
      <c r="O12" s="19" t="s">
        <v>61</v>
      </c>
      <c r="P12" s="19" t="s">
        <v>61</v>
      </c>
      <c r="Q12" s="22" t="s">
        <v>78</v>
      </c>
      <c r="R12" s="22" t="s">
        <v>65</v>
      </c>
      <c r="S12" s="25" t="n">
        <v>17225000</v>
      </c>
      <c r="T12" s="26" t="n">
        <f aca="false">IF(AND(ISNUMBER(S12),ISNUMBER(H12),H12&gt;0),S12/H12,"")</f>
        <v>1314885.49618321</v>
      </c>
      <c r="U12" s="27" t="n">
        <v>1722500</v>
      </c>
      <c r="V12" s="27" t="n">
        <v>861250</v>
      </c>
      <c r="W12" s="20" t="s">
        <v>66</v>
      </c>
      <c r="X12" s="28" t="n">
        <v>46289.8333333333</v>
      </c>
      <c r="Y12" s="28" t="n">
        <v>46337.625</v>
      </c>
      <c r="Z12" s="29" t="n">
        <f aca="true">IF(ISNUMBER(Y12),MAX(0,INT(Y12-TODAY())),"")</f>
        <v>22</v>
      </c>
      <c r="AA12" s="28" t="n">
        <v>46344.4166666667</v>
      </c>
      <c r="AB12" s="28" t="n">
        <v>46346.4166666667</v>
      </c>
      <c r="AC12" s="28" t="n">
        <v>46346.7083333333</v>
      </c>
      <c r="AD12" s="30" t="s">
        <v>67</v>
      </c>
      <c r="AE12" s="30" t="s">
        <v>68</v>
      </c>
      <c r="AF12" s="30" t="s">
        <v>69</v>
      </c>
      <c r="AG12" s="22" t="s">
        <v>70</v>
      </c>
      <c r="AH12" s="22" t="s">
        <v>79</v>
      </c>
      <c r="AI12" s="20" t="s">
        <v>80</v>
      </c>
    </row>
    <row r="13" customFormat="false" ht="48" hidden="false" customHeight="true" outlineLevel="0" collapsed="false">
      <c r="A13" s="19" t="n">
        <v>3</v>
      </c>
      <c r="B13" s="20" t="s">
        <v>55</v>
      </c>
      <c r="C13" s="21" t="s">
        <v>81</v>
      </c>
      <c r="D13" s="19" t="s">
        <v>57</v>
      </c>
      <c r="E13" s="22" t="s">
        <v>82</v>
      </c>
      <c r="F13" s="22" t="s">
        <v>83</v>
      </c>
      <c r="G13" s="19" t="n">
        <v>9</v>
      </c>
      <c r="H13" s="23" t="n">
        <v>167.1</v>
      </c>
      <c r="I13" s="24"/>
      <c r="J13" s="20" t="s">
        <v>60</v>
      </c>
      <c r="K13" s="19" t="n">
        <v>6</v>
      </c>
      <c r="L13" s="19" t="s">
        <v>61</v>
      </c>
      <c r="M13" s="20" t="s">
        <v>62</v>
      </c>
      <c r="N13" s="20" t="s">
        <v>84</v>
      </c>
      <c r="O13" s="19" t="s">
        <v>61</v>
      </c>
      <c r="P13" s="19" t="s">
        <v>61</v>
      </c>
      <c r="Q13" s="22" t="s">
        <v>85</v>
      </c>
      <c r="R13" s="22" t="s">
        <v>65</v>
      </c>
      <c r="S13" s="25" t="n">
        <v>50797000</v>
      </c>
      <c r="T13" s="26" t="n">
        <f aca="false">IF(AND(ISNUMBER(S13),ISNUMBER(H13),H13&gt;0),S13/H13,"")</f>
        <v>303991.621783363</v>
      </c>
      <c r="U13" s="27" t="n">
        <v>5079700</v>
      </c>
      <c r="V13" s="27" t="n">
        <v>2539850</v>
      </c>
      <c r="W13" s="20" t="s">
        <v>66</v>
      </c>
      <c r="X13" s="28" t="n">
        <v>46301.8333333333</v>
      </c>
      <c r="Y13" s="28" t="n">
        <v>46335.625</v>
      </c>
      <c r="Z13" s="29" t="n">
        <f aca="true">IF(ISNUMBER(Y13),MAX(0,INT(Y13-TODAY())),"")</f>
        <v>20</v>
      </c>
      <c r="AA13" s="28" t="n">
        <v>46338.4166666667</v>
      </c>
      <c r="AB13" s="28" t="n">
        <v>46343.4166666667</v>
      </c>
      <c r="AC13" s="28" t="n">
        <v>46343.7083333333</v>
      </c>
      <c r="AD13" s="30" t="s">
        <v>67</v>
      </c>
      <c r="AE13" s="30" t="s">
        <v>68</v>
      </c>
      <c r="AF13" s="30" t="s">
        <v>69</v>
      </c>
      <c r="AG13" s="22" t="s">
        <v>70</v>
      </c>
      <c r="AH13" s="22" t="s">
        <v>86</v>
      </c>
      <c r="AI13" s="20"/>
    </row>
    <row r="14" customFormat="false" ht="48" hidden="false" customHeight="true" outlineLevel="0" collapsed="false">
      <c r="A14" s="19" t="n">
        <v>4</v>
      </c>
      <c r="B14" s="20" t="s">
        <v>55</v>
      </c>
      <c r="C14" s="21" t="s">
        <v>87</v>
      </c>
      <c r="D14" s="19" t="s">
        <v>57</v>
      </c>
      <c r="E14" s="22" t="s">
        <v>88</v>
      </c>
      <c r="F14" s="22" t="s">
        <v>89</v>
      </c>
      <c r="G14" s="19" t="n">
        <v>2</v>
      </c>
      <c r="H14" s="23" t="n">
        <v>315.5</v>
      </c>
      <c r="I14" s="24"/>
      <c r="J14" s="20" t="s">
        <v>90</v>
      </c>
      <c r="K14" s="19" t="n">
        <v>3</v>
      </c>
      <c r="L14" s="19" t="s">
        <v>65</v>
      </c>
      <c r="M14" s="20" t="s">
        <v>65</v>
      </c>
      <c r="N14" s="20" t="s">
        <v>65</v>
      </c>
      <c r="O14" s="19" t="s">
        <v>65</v>
      </c>
      <c r="P14" s="19" t="s">
        <v>65</v>
      </c>
      <c r="Q14" s="22" t="s">
        <v>65</v>
      </c>
      <c r="R14" s="22" t="s">
        <v>65</v>
      </c>
      <c r="S14" s="25" t="n">
        <v>112951260</v>
      </c>
      <c r="T14" s="26" t="n">
        <f aca="false">IF(AND(ISNUMBER(S14),ISNUMBER(H14),H14&gt;0),S14/H14,"")</f>
        <v>358007.163232964</v>
      </c>
      <c r="U14" s="27" t="n">
        <v>11295126</v>
      </c>
      <c r="V14" s="31" t="s">
        <v>91</v>
      </c>
      <c r="W14" s="20" t="s">
        <v>92</v>
      </c>
      <c r="X14" s="28" t="n">
        <v>46308.5833333333</v>
      </c>
      <c r="Y14" s="28" t="n">
        <v>46369.5833333333</v>
      </c>
      <c r="Z14" s="29" t="n">
        <f aca="true">IF(ISNUMBER(Y14),MAX(0,INT(Y14-TODAY())),"")</f>
        <v>54</v>
      </c>
      <c r="AA14" s="28" t="n">
        <v>46372.625</v>
      </c>
      <c r="AB14" s="28" t="n">
        <v>46373.4583333333</v>
      </c>
      <c r="AC14" s="28" t="s">
        <v>65</v>
      </c>
      <c r="AD14" s="30" t="s">
        <v>67</v>
      </c>
      <c r="AE14" s="30" t="s">
        <v>68</v>
      </c>
      <c r="AF14" s="19"/>
      <c r="AG14" s="22" t="s">
        <v>93</v>
      </c>
      <c r="AH14" s="22" t="s">
        <v>94</v>
      </c>
      <c r="AI14" s="20" t="s">
        <v>95</v>
      </c>
    </row>
    <row r="15" customFormat="false" ht="48" hidden="false" customHeight="true" outlineLevel="0" collapsed="false">
      <c r="A15" s="19" t="n">
        <v>5</v>
      </c>
      <c r="B15" s="20" t="s">
        <v>96</v>
      </c>
      <c r="C15" s="21" t="s">
        <v>97</v>
      </c>
      <c r="D15" s="19" t="s">
        <v>98</v>
      </c>
      <c r="E15" s="22" t="s">
        <v>99</v>
      </c>
      <c r="F15" s="22" t="s">
        <v>100</v>
      </c>
      <c r="G15" s="19" t="n">
        <v>12</v>
      </c>
      <c r="H15" s="23" t="n">
        <v>898.3</v>
      </c>
      <c r="I15" s="24" t="n">
        <v>808</v>
      </c>
      <c r="J15" s="20" t="s">
        <v>65</v>
      </c>
      <c r="K15" s="19" t="n">
        <v>1</v>
      </c>
      <c r="L15" s="19" t="s">
        <v>61</v>
      </c>
      <c r="M15" s="20" t="s">
        <v>62</v>
      </c>
      <c r="N15" s="20" t="s">
        <v>65</v>
      </c>
      <c r="O15" s="19" t="s">
        <v>61</v>
      </c>
      <c r="P15" s="19" t="s">
        <v>61</v>
      </c>
      <c r="Q15" s="22" t="s">
        <v>101</v>
      </c>
      <c r="R15" s="22" t="s">
        <v>102</v>
      </c>
      <c r="S15" s="25" t="n">
        <v>158898000</v>
      </c>
      <c r="T15" s="26" t="n">
        <f aca="false">IF(AND(ISNUMBER(S15),ISNUMBER(H15),H15&gt;0),S15/H15,"")</f>
        <v>176887.454079929</v>
      </c>
      <c r="U15" s="27" t="n">
        <v>31779600</v>
      </c>
      <c r="V15" s="27" t="n">
        <v>1588980</v>
      </c>
      <c r="W15" s="20" t="s">
        <v>66</v>
      </c>
      <c r="X15" s="28" t="n">
        <v>46302.8333333333</v>
      </c>
      <c r="Y15" s="28" t="n">
        <v>46335.625</v>
      </c>
      <c r="Z15" s="29" t="n">
        <f aca="true">IF(ISNUMBER(Y15),MAX(0,INT(Y15-TODAY())),"")</f>
        <v>20</v>
      </c>
      <c r="AA15" s="28" t="n">
        <v>46338.4166666667</v>
      </c>
      <c r="AB15" s="28" t="n">
        <v>46343.4166666667</v>
      </c>
      <c r="AC15" s="28" t="n">
        <v>46343.7083333333</v>
      </c>
      <c r="AD15" s="30" t="s">
        <v>67</v>
      </c>
      <c r="AE15" s="30" t="s">
        <v>68</v>
      </c>
      <c r="AF15" s="30" t="s">
        <v>69</v>
      </c>
      <c r="AG15" s="22" t="s">
        <v>70</v>
      </c>
      <c r="AH15" s="22" t="s">
        <v>103</v>
      </c>
      <c r="AI15" s="20" t="s">
        <v>104</v>
      </c>
    </row>
    <row r="16" customFormat="false" ht="48" hidden="false" customHeight="true" outlineLevel="0" collapsed="false">
      <c r="A16" s="19" t="n">
        <v>6</v>
      </c>
      <c r="B16" s="20" t="s">
        <v>96</v>
      </c>
      <c r="C16" s="21" t="s">
        <v>105</v>
      </c>
      <c r="D16" s="19" t="s">
        <v>57</v>
      </c>
      <c r="E16" s="22" t="s">
        <v>88</v>
      </c>
      <c r="F16" s="22" t="s">
        <v>106</v>
      </c>
      <c r="G16" s="19" t="n">
        <v>4</v>
      </c>
      <c r="H16" s="23" t="n">
        <v>634.4</v>
      </c>
      <c r="I16" s="24" t="n">
        <v>396</v>
      </c>
      <c r="J16" s="20" t="s">
        <v>65</v>
      </c>
      <c r="K16" s="19" t="n">
        <v>1</v>
      </c>
      <c r="L16" s="19" t="s">
        <v>61</v>
      </c>
      <c r="M16" s="20" t="s">
        <v>62</v>
      </c>
      <c r="N16" s="20" t="s">
        <v>65</v>
      </c>
      <c r="O16" s="19" t="s">
        <v>61</v>
      </c>
      <c r="P16" s="19" t="s">
        <v>61</v>
      </c>
      <c r="Q16" s="22" t="s">
        <v>107</v>
      </c>
      <c r="R16" s="22" t="s">
        <v>108</v>
      </c>
      <c r="S16" s="25" t="n">
        <v>195014000</v>
      </c>
      <c r="T16" s="26" t="n">
        <f aca="false">IF(AND(ISNUMBER(S16),ISNUMBER(H16),H16&gt;0),S16/H16,"")</f>
        <v>307399.117276166</v>
      </c>
      <c r="U16" s="27" t="n">
        <v>39002800</v>
      </c>
      <c r="V16" s="27" t="n">
        <v>1950140</v>
      </c>
      <c r="W16" s="20" t="s">
        <v>66</v>
      </c>
      <c r="X16" s="28" t="n">
        <v>46302.8333333333</v>
      </c>
      <c r="Y16" s="28" t="n">
        <v>46335.625</v>
      </c>
      <c r="Z16" s="29" t="n">
        <f aca="true">IF(ISNUMBER(Y16),MAX(0,INT(Y16-TODAY())),"")</f>
        <v>20</v>
      </c>
      <c r="AA16" s="28" t="n">
        <v>46338.4166666667</v>
      </c>
      <c r="AB16" s="28" t="n">
        <v>46343.4166666667</v>
      </c>
      <c r="AC16" s="28" t="n">
        <v>46343.7083333333</v>
      </c>
      <c r="AD16" s="30" t="s">
        <v>67</v>
      </c>
      <c r="AE16" s="30" t="s">
        <v>68</v>
      </c>
      <c r="AF16" s="30" t="s">
        <v>69</v>
      </c>
      <c r="AG16" s="22" t="s">
        <v>70</v>
      </c>
      <c r="AH16" s="22" t="s">
        <v>109</v>
      </c>
      <c r="AI16" s="20" t="s">
        <v>104</v>
      </c>
    </row>
    <row r="17" customFormat="false" ht="48" hidden="false" customHeight="true" outlineLevel="0" collapsed="false">
      <c r="A17" s="19" t="n">
        <v>7</v>
      </c>
      <c r="B17" s="20" t="s">
        <v>55</v>
      </c>
      <c r="C17" s="21" t="s">
        <v>110</v>
      </c>
      <c r="D17" s="19" t="s">
        <v>57</v>
      </c>
      <c r="E17" s="22" t="s">
        <v>58</v>
      </c>
      <c r="F17" s="22" t="s">
        <v>111</v>
      </c>
      <c r="G17" s="19" t="n">
        <v>9</v>
      </c>
      <c r="H17" s="23" t="n">
        <v>431.2</v>
      </c>
      <c r="I17" s="24"/>
      <c r="J17" s="20" t="s">
        <v>60</v>
      </c>
      <c r="K17" s="19"/>
      <c r="L17" s="19" t="s">
        <v>76</v>
      </c>
      <c r="M17" s="20" t="s">
        <v>62</v>
      </c>
      <c r="N17" s="20" t="s">
        <v>112</v>
      </c>
      <c r="O17" s="19" t="s">
        <v>61</v>
      </c>
      <c r="P17" s="19" t="s">
        <v>61</v>
      </c>
      <c r="Q17" s="22" t="s">
        <v>113</v>
      </c>
      <c r="R17" s="22" t="s">
        <v>65</v>
      </c>
      <c r="S17" s="25" t="n">
        <v>239527000</v>
      </c>
      <c r="T17" s="26" t="n">
        <f aca="false">IF(AND(ISNUMBER(S17),ISNUMBER(H17),H17&gt;0),S17/H17,"")</f>
        <v>555489.332096475</v>
      </c>
      <c r="U17" s="27" t="n">
        <v>47905400</v>
      </c>
      <c r="V17" s="27" t="n">
        <v>2395270</v>
      </c>
      <c r="W17" s="20" t="s">
        <v>66</v>
      </c>
      <c r="X17" s="28" t="n">
        <v>46308.8333333333</v>
      </c>
      <c r="Y17" s="28" t="n">
        <v>46342.625</v>
      </c>
      <c r="Z17" s="29" t="n">
        <f aca="true">IF(ISNUMBER(Y17),MAX(0,INT(Y17-TODAY())),"")</f>
        <v>27</v>
      </c>
      <c r="AA17" s="28" t="n">
        <v>46345.4166666667</v>
      </c>
      <c r="AB17" s="28" t="n">
        <v>46350.4166666667</v>
      </c>
      <c r="AC17" s="28" t="n">
        <v>46350.7083333333</v>
      </c>
      <c r="AD17" s="30" t="s">
        <v>67</v>
      </c>
      <c r="AE17" s="30" t="s">
        <v>68</v>
      </c>
      <c r="AF17" s="30" t="s">
        <v>69</v>
      </c>
      <c r="AG17" s="22" t="s">
        <v>70</v>
      </c>
      <c r="AH17" s="22" t="s">
        <v>114</v>
      </c>
      <c r="AI17" s="20" t="s">
        <v>80</v>
      </c>
    </row>
    <row r="18" customFormat="false" ht="48" hidden="false" customHeight="true" outlineLevel="0" collapsed="false">
      <c r="A18" s="19" t="n">
        <v>8</v>
      </c>
      <c r="B18" s="20" t="s">
        <v>115</v>
      </c>
      <c r="C18" s="21" t="s">
        <v>116</v>
      </c>
      <c r="D18" s="19" t="s">
        <v>57</v>
      </c>
      <c r="E18" s="22" t="s">
        <v>82</v>
      </c>
      <c r="F18" s="22" t="s">
        <v>117</v>
      </c>
      <c r="G18" s="19" t="n">
        <v>2</v>
      </c>
      <c r="H18" s="23" t="n">
        <v>1030.1</v>
      </c>
      <c r="I18" s="24"/>
      <c r="J18" s="20" t="s">
        <v>65</v>
      </c>
      <c r="K18" s="19" t="n">
        <v>3</v>
      </c>
      <c r="L18" s="19" t="s">
        <v>76</v>
      </c>
      <c r="M18" s="20" t="s">
        <v>62</v>
      </c>
      <c r="N18" s="20" t="s">
        <v>65</v>
      </c>
      <c r="O18" s="19" t="s">
        <v>61</v>
      </c>
      <c r="P18" s="19" t="s">
        <v>61</v>
      </c>
      <c r="Q18" s="22" t="s">
        <v>118</v>
      </c>
      <c r="R18" s="22" t="s">
        <v>65</v>
      </c>
      <c r="S18" s="25" t="n">
        <v>263000000</v>
      </c>
      <c r="T18" s="26" t="n">
        <f aca="false">IF(AND(ISNUMBER(S18),ISNUMBER(H18),H18&gt;0),S18/H18,"")</f>
        <v>255315.017959421</v>
      </c>
      <c r="U18" s="27" t="n">
        <v>131500000</v>
      </c>
      <c r="V18" s="27" t="n">
        <v>2630000</v>
      </c>
      <c r="W18" s="20" t="s">
        <v>66</v>
      </c>
      <c r="X18" s="28" t="n">
        <v>46282.8333333333</v>
      </c>
      <c r="Y18" s="28" t="n">
        <v>46339.625</v>
      </c>
      <c r="Z18" s="29" t="n">
        <f aca="true">IF(ISNUMBER(Y18),MAX(0,INT(Y18-TODAY())),"")</f>
        <v>24</v>
      </c>
      <c r="AA18" s="28" t="n">
        <v>46344.4166666667</v>
      </c>
      <c r="AB18" s="28" t="n">
        <v>46346.4166666667</v>
      </c>
      <c r="AC18" s="28" t="n">
        <v>46346.7083333333</v>
      </c>
      <c r="AD18" s="30" t="s">
        <v>67</v>
      </c>
      <c r="AE18" s="30" t="s">
        <v>68</v>
      </c>
      <c r="AF18" s="19"/>
      <c r="AG18" s="22" t="s">
        <v>70</v>
      </c>
      <c r="AH18" s="22" t="s">
        <v>119</v>
      </c>
      <c r="AI18" s="20" t="s">
        <v>120</v>
      </c>
    </row>
    <row r="19" customFormat="false" ht="48" hidden="false" customHeight="true" outlineLevel="0" collapsed="false">
      <c r="A19" s="19" t="n">
        <v>9</v>
      </c>
      <c r="B19" s="20" t="s">
        <v>96</v>
      </c>
      <c r="C19" s="21" t="s">
        <v>121</v>
      </c>
      <c r="D19" s="19" t="s">
        <v>57</v>
      </c>
      <c r="E19" s="22" t="s">
        <v>122</v>
      </c>
      <c r="F19" s="22" t="s">
        <v>123</v>
      </c>
      <c r="G19" s="19" t="n">
        <v>4</v>
      </c>
      <c r="H19" s="23" t="n">
        <v>1259.3</v>
      </c>
      <c r="I19" s="24" t="n">
        <v>621</v>
      </c>
      <c r="J19" s="20" t="s">
        <v>65</v>
      </c>
      <c r="K19" s="19" t="n">
        <v>3</v>
      </c>
      <c r="L19" s="19" t="s">
        <v>65</v>
      </c>
      <c r="M19" s="20" t="s">
        <v>124</v>
      </c>
      <c r="N19" s="20" t="s">
        <v>65</v>
      </c>
      <c r="O19" s="19" t="s">
        <v>65</v>
      </c>
      <c r="P19" s="19" t="s">
        <v>125</v>
      </c>
      <c r="Q19" s="22" t="s">
        <v>126</v>
      </c>
      <c r="R19" s="22" t="s">
        <v>127</v>
      </c>
      <c r="S19" s="25" t="n">
        <v>289558721</v>
      </c>
      <c r="T19" s="26" t="n">
        <f aca="false">IF(AND(ISNUMBER(S19),ISNUMBER(H19),H19&gt;0),S19/H19,"")</f>
        <v>229936.251091876</v>
      </c>
      <c r="U19" s="27" t="n">
        <v>57911744.2</v>
      </c>
      <c r="V19" s="27" t="n">
        <v>5791174.42</v>
      </c>
      <c r="W19" s="20" t="s">
        <v>128</v>
      </c>
      <c r="X19" s="28" t="n">
        <v>46311.8333333333</v>
      </c>
      <c r="Y19" s="28" t="n">
        <v>46351.9993055556</v>
      </c>
      <c r="Z19" s="29" t="n">
        <f aca="true">IF(ISNUMBER(Y19),MAX(0,INT(Y19-TODAY())),"")</f>
        <v>36</v>
      </c>
      <c r="AA19" s="28" t="n">
        <v>46353.9993055556</v>
      </c>
      <c r="AB19" s="28" t="n">
        <v>46356.4583333333</v>
      </c>
      <c r="AC19" s="28" t="s">
        <v>65</v>
      </c>
      <c r="AD19" s="30" t="s">
        <v>67</v>
      </c>
      <c r="AE19" s="30" t="s">
        <v>68</v>
      </c>
      <c r="AF19" s="30" t="s">
        <v>69</v>
      </c>
      <c r="AG19" s="22" t="s">
        <v>129</v>
      </c>
      <c r="AH19" s="22" t="s">
        <v>130</v>
      </c>
      <c r="AI19" s="20" t="s">
        <v>131</v>
      </c>
    </row>
    <row r="21" customFormat="false" ht="15" hidden="false" customHeight="false" outlineLevel="0" collapsed="false">
      <c r="B21" s="32" t="s">
        <v>132</v>
      </c>
    </row>
    <row r="22" customFormat="false" ht="15" hidden="false" customHeight="false" outlineLevel="0" collapsed="false">
      <c r="B22" s="33" t="s">
        <v>133</v>
      </c>
    </row>
    <row r="23" customFormat="false" ht="15" hidden="false" customHeight="false" outlineLevel="0" collapsed="false">
      <c r="B23" s="33" t="s">
        <v>134</v>
      </c>
    </row>
    <row r="24" customFormat="false" ht="15" hidden="false" customHeight="false" outlineLevel="0" collapsed="false">
      <c r="B24" s="33" t="s">
        <v>135</v>
      </c>
    </row>
    <row r="26" customFormat="false" ht="15" hidden="false" customHeight="false" outlineLevel="0" collapsed="false">
      <c r="B26" s="32" t="s">
        <v>136</v>
      </c>
    </row>
    <row r="27" customFormat="false" ht="15" hidden="false" customHeight="false" outlineLevel="0" collapsed="false">
      <c r="B27" s="34" t="s">
        <v>137</v>
      </c>
    </row>
    <row r="28" customFormat="false" ht="15" hidden="false" customHeight="false" outlineLevel="0" collapsed="false">
      <c r="B28" s="34" t="s">
        <v>138</v>
      </c>
    </row>
    <row r="29" customFormat="false" ht="15" hidden="false" customHeight="false" outlineLevel="0" collapsed="false">
      <c r="B29" s="34" t="s">
        <v>139</v>
      </c>
    </row>
    <row r="30" customFormat="false" ht="15" hidden="false" customHeight="false" outlineLevel="0" collapsed="false">
      <c r="B30" s="34" t="s">
        <v>140</v>
      </c>
    </row>
  </sheetData>
  <mergeCells count="23">
    <mergeCell ref="B5:C5"/>
    <mergeCell ref="E5:G5"/>
    <mergeCell ref="I5:K5"/>
    <mergeCell ref="M5:O5"/>
    <mergeCell ref="Q5:R5"/>
    <mergeCell ref="T5:U5"/>
    <mergeCell ref="B6:C6"/>
    <mergeCell ref="E6:G6"/>
    <mergeCell ref="I6:K6"/>
    <mergeCell ref="M6:O6"/>
    <mergeCell ref="Q6:R6"/>
    <mergeCell ref="T6:U6"/>
    <mergeCell ref="B7:C7"/>
    <mergeCell ref="E7:G7"/>
    <mergeCell ref="I7:K7"/>
    <mergeCell ref="M7:O7"/>
    <mergeCell ref="Q7:R7"/>
    <mergeCell ref="T7:U7"/>
    <mergeCell ref="A9:G9"/>
    <mergeCell ref="H9:R9"/>
    <mergeCell ref="S9:W9"/>
    <mergeCell ref="X9:AC9"/>
    <mergeCell ref="AD9:AH9"/>
  </mergeCells>
  <conditionalFormatting sqref="T11:T19">
    <cfRule type="dataBar" priority="2">
      <dataBar showValue="1" minLength="10" maxLength="90">
        <cfvo type="num" val="0"/>
        <cfvo type="max" val="0"/>
        <color rgb="FF5B8DEF"/>
      </dataBar>
      <extLst>
        <ext xmlns:x14="http://schemas.microsoft.com/office/spreadsheetml/2009/9/main" uri="{B025F937-C7B1-47D3-B67F-A62EFF666E3E}">
          <x14:id>{D0C64F92-6E43-431D-9349-E6ADA45FA18D}</x14:id>
        </ext>
      </extLst>
    </cfRule>
  </conditionalFormatting>
  <conditionalFormatting sqref="S11:S19">
    <cfRule type="dataBar" priority="3">
      <dataBar showValue="1" minLength="10" maxLength="90">
        <cfvo type="num" val="0"/>
        <cfvo type="max" val="0"/>
        <color rgb="FF2BB3A3"/>
      </dataBar>
      <extLst>
        <ext xmlns:x14="http://schemas.microsoft.com/office/spreadsheetml/2009/9/main" uri="{B025F937-C7B1-47D3-B67F-A62EFF666E3E}">
          <x14:id>{FF23E98E-C0AE-46A1-9020-5D537FEE63D0}</x14:id>
        </ext>
      </extLst>
    </cfRule>
  </conditionalFormatting>
  <conditionalFormatting sqref="L11:L19">
    <cfRule type="cellIs" priority="4" operator="equal" aboveAverage="0" equalAverage="0" bottom="0" percent="0" rank="0" text="" dxfId="11">
      <formula>"Да"</formula>
    </cfRule>
  </conditionalFormatting>
  <conditionalFormatting sqref="Z11:Z19">
    <cfRule type="expression" priority="5" aboveAverage="0" equalAverage="0" bottom="0" percent="0" rank="0" text="" dxfId="12">
      <formula>AND(ISNUMBER(Z11),Z11&lt;=14)</formula>
    </cfRule>
    <cfRule type="expression" priority="6" aboveAverage="0" equalAverage="0" bottom="0" percent="0" rank="0" text="" dxfId="13">
      <formula>AND(ISNUMBER(Z11),Z11&gt;14,Z11&lt;=30)</formula>
    </cfRule>
    <cfRule type="expression" priority="7" aboveAverage="0" equalAverage="0" bottom="0" percent="0" rank="0" text="" dxfId="14">
      <formula>AND(ISNUMBER(Z11),Z11&gt;30)</formula>
    </cfRule>
  </conditionalFormatting>
  <hyperlinks>
    <hyperlink ref="AD11" r:id="rId2" display="Открыть ↗"/>
    <hyperlink ref="AE11" r:id="rId3" display="ЭТП ↗"/>
    <hyperlink ref="AF11" r:id="rId4" display="Извещение ↗"/>
    <hyperlink ref="AD12" r:id="rId5" display="Открыть ↗"/>
    <hyperlink ref="AE12" r:id="rId6" display="ЭТП ↗"/>
    <hyperlink ref="AF12" r:id="rId7" display="Извещение ↗"/>
    <hyperlink ref="AD13" r:id="rId8" display="Открыть ↗"/>
    <hyperlink ref="AE13" r:id="rId9" display="ЭТП ↗"/>
    <hyperlink ref="AF13" r:id="rId10" display="Извещение ↗"/>
    <hyperlink ref="AD14" r:id="rId11" display="Открыть ↗"/>
    <hyperlink ref="AE14" r:id="rId12" display="ЭТП ↗"/>
    <hyperlink ref="AD15" r:id="rId13" display="Открыть ↗"/>
    <hyperlink ref="AE15" r:id="rId14" display="ЭТП ↗"/>
    <hyperlink ref="AF15" r:id="rId15" display="Извещение ↗"/>
    <hyperlink ref="AD16" r:id="rId16" display="Открыть ↗"/>
    <hyperlink ref="AE16" r:id="rId17" display="ЭТП ↗"/>
    <hyperlink ref="AF16" r:id="rId18" display="Извещение ↗"/>
    <hyperlink ref="AD17" r:id="rId19" display="Открыть ↗"/>
    <hyperlink ref="AE17" r:id="rId20" display="ЭТП ↗"/>
    <hyperlink ref="AF17" r:id="rId21" display="Извещение ↗"/>
    <hyperlink ref="AD18" r:id="rId22" display="Открыть ↗"/>
    <hyperlink ref="AE18" r:id="rId23" display="ЭТП ↗"/>
    <hyperlink ref="AD19" r:id="rId24" display="Открыть ↗"/>
    <hyperlink ref="AE19" r:id="rId25" display="ЭТП ↗"/>
    <hyperlink ref="AF19" r:id="rId26" display="Извещение ↗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7"/>
  <tableParts>
    <tablePart r:id="rId28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C64F92-6E43-431D-9349-E6ADA45FA18D}">
            <x14:dataBar minLength="10" maxLength="90" axisPosition="none" gradient="true">
              <x14:cfvo type="num">
                <xm:f>0</xm:f>
              </x14:cfvo>
              <x14:cfvo type="max"/>
              <x14:negativeFillColor rgb="FF5B8DEF"/>
              <x14:axisColor rgb="FF000000"/>
            </x14:dataBar>
          </x14:cfRule>
          <xm:sqref>T11:T19</xm:sqref>
        </x14:conditionalFormatting>
        <x14:conditionalFormatting xmlns:xm="http://schemas.microsoft.com/office/excel/2006/main">
          <x14:cfRule type="dataBar" id="{FF23E98E-C0AE-46A1-9020-5D537FEE63D0}">
            <x14:dataBar minLength="10" maxLength="90" axisPosition="none" gradient="true">
              <x14:cfvo type="num">
                <xm:f>0</xm:f>
              </x14:cfvo>
              <x14:cfvo type="max"/>
              <x14:negativeFillColor rgb="FF2BB3A3"/>
              <x14:axisColor rgb="FF000000"/>
            </x14:dataBar>
          </x14:cfRule>
          <xm:sqref>S11:S19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L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14"/>
    <col collapsed="false" customWidth="true" hidden="false" outlineLevel="0" max="10" min="8" style="0" width="16"/>
    <col collapsed="false" customWidth="true" hidden="false" outlineLevel="0" max="11" min="11" style="0" width="18"/>
    <col collapsed="false" customWidth="true" hidden="false" outlineLevel="0" max="12" min="12" style="0" width="12"/>
  </cols>
  <sheetData>
    <row r="1" customFormat="false" ht="33.75" hidden="false" customHeight="true" outlineLevel="0" collapsed="false">
      <c r="A1" s="1"/>
      <c r="B1" s="35" t="s">
        <v>141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1"/>
      <c r="B2" s="36" t="s">
        <v>142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3.7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5" customFormat="false" ht="24" hidden="false" customHeight="true" outlineLevel="0" collapsed="false">
      <c r="B5" s="37" t="s">
        <v>143</v>
      </c>
      <c r="C5" s="37"/>
      <c r="D5" s="38" t="s">
        <v>38</v>
      </c>
      <c r="E5" s="38"/>
      <c r="F5" s="38"/>
      <c r="G5" s="39" t="s">
        <v>144</v>
      </c>
    </row>
    <row r="6" customFormat="false" ht="24" hidden="false" customHeight="true" outlineLevel="0" collapsed="false">
      <c r="B6" s="37" t="s">
        <v>145</v>
      </c>
      <c r="C6" s="37"/>
      <c r="D6" s="38" t="s">
        <v>146</v>
      </c>
      <c r="E6" s="38"/>
      <c r="F6" s="38"/>
    </row>
    <row r="9" customFormat="false" ht="33.75" hidden="false" customHeight="true" outlineLevel="0" collapsed="false">
      <c r="B9" s="40" t="s">
        <v>147</v>
      </c>
      <c r="C9" s="40" t="s">
        <v>22</v>
      </c>
      <c r="D9" s="40" t="s">
        <v>21</v>
      </c>
      <c r="E9" s="40" t="s">
        <v>27</v>
      </c>
      <c r="F9" s="40" t="s">
        <v>38</v>
      </c>
      <c r="G9" s="40" t="s">
        <v>39</v>
      </c>
      <c r="H9" s="40" t="s">
        <v>44</v>
      </c>
      <c r="I9" s="40" t="s">
        <v>47</v>
      </c>
      <c r="J9" s="40" t="s">
        <v>148</v>
      </c>
      <c r="K9" s="40" t="s">
        <v>25</v>
      </c>
      <c r="L9" s="40" t="s">
        <v>149</v>
      </c>
    </row>
    <row r="10" customFormat="false" ht="30" hidden="false" customHeight="true" outlineLevel="0" collapsed="false">
      <c r="B10" s="41" t="n">
        <v>1</v>
      </c>
      <c r="C10" s="21" t="str">
        <f aca="false">IFERROR(INDEX(Реестр!$A$11:$AI$19,MATCH(1,_calc!$C$1:$C$9,0),MATCH("Адрес",Реестр!$A$10:$AI$10,0)),"")</f>
        <v>Малый Златоустинский пер., д. 8, стр. 1, этаж 1</v>
      </c>
      <c r="D10" s="20" t="str">
        <f aca="false">IFERROR(INDEX(Реестр!$A$11:$AI$19,MATCH(1,_calc!$C$1:$C$9,0),MATCH("Тип объекта",Реестр!$A$10:$AI$10,0)),"")</f>
        <v>Нежилое помещение</v>
      </c>
      <c r="E10" s="42" t="n">
        <f aca="false">IFERROR(INDEX(Реестр!$A$11:$AI$19,MATCH(1,_calc!$C$1:$C$9,0),MATCH("Площадь, м²",Реестр!$A$10:$AI$10,0)),"")</f>
        <v>42.3</v>
      </c>
      <c r="F10" s="43" t="n">
        <f aca="false">IFERROR(INDEX(Реестр!$A$11:$AI$19,MATCH(1,_calc!$C$1:$C$9,0),MATCH("Начальная цена, ₽",Реестр!$A$10:$AI$10,0)),"")</f>
        <v>15384000</v>
      </c>
      <c r="G10" s="43" t="n">
        <f aca="false">IFERROR(INDEX(Реестр!$A$11:$AI$19,MATCH(1,_calc!$C$1:$C$9,0),MATCH("Цена за м², ₽",Реестр!$A$10:$AI$10,0)),"")</f>
        <v>363687.943262411</v>
      </c>
      <c r="H10" s="44" t="n">
        <f aca="false">IFERROR(INDEX(Реестр!$A$11:$AI$19,MATCH(1,_calc!$C$1:$C$9,0),MATCH("Приём заявок до",Реестр!$A$10:$AI$10,0)),"")</f>
        <v>46335.625</v>
      </c>
      <c r="I10" s="44" t="n">
        <f aca="false">IFERROR(INDEX(Реестр!$A$11:$AI$19,MATCH(1,_calc!$C$1:$C$9,0),MATCH("Дата торгов",Реестр!$A$10:$AI$10,0)),"")</f>
        <v>46344.4166666667</v>
      </c>
      <c r="J10" s="45" t="n">
        <f aca="false">IFERROR(IF(AND(OR($D$5="Приём заявок до",$D$5="Дата торгов"),ISNUMBER(INDEX(_calc!$A$1:$A$9,MATCH(1,_calc!$C$1:$C$9,0)))),RIGHT("0"&amp;DAY(INDEX(_calc!$A$1:$A$9,MATCH(1,_calc!$C$1:$C$9,0))),2)&amp;"."&amp;RIGHT("0"&amp;MONTH(INDEX(_calc!$A$1:$A$9,MATCH(1,_calc!$C$1:$C$9,0))),2)&amp;"."&amp;YEAR(INDEX(_calc!$A$1:$A$9,MATCH(1,_calc!$C$1:$C$9,0))),INDEX(_calc!$A$1:$A$9,MATCH(1,_calc!$C$1:$C$9,0))),"")</f>
        <v>15384000</v>
      </c>
      <c r="K10" s="22" t="str">
        <f aca="false">IFERROR(INDEX(Реестр!$A$11:$AI$19,MATCH(1,_calc!$C$1:$C$9,0),MATCH("Метро",Реестр!$A$10:$AI$10,0)),"")</f>
        <v>Китай-город</v>
      </c>
      <c r="L10" s="46" t="n">
        <f aca="false">IFERROR(INDEX(Реестр!$A$11:$AI$19,MATCH(1,_calc!$C$1:$C$9,0),MATCH("Дней до конца приёма",Реестр!$A$10:$AI$10,0)),"")</f>
        <v>20</v>
      </c>
    </row>
    <row r="11" customFormat="false" ht="30" hidden="false" customHeight="true" outlineLevel="0" collapsed="false">
      <c r="B11" s="47" t="n">
        <v>2</v>
      </c>
      <c r="C11" s="48" t="str">
        <f aca="false">IFERROR(INDEX(Реестр!$A$11:$AI$19,MATCH(2,_calc!$C$1:$C$9,0),MATCH("Адрес",Реестр!$A$10:$AI$10,0)),"")</f>
        <v>Большая Никитская ул., д. 21/18, стр. 1, этаж 1</v>
      </c>
      <c r="D11" s="49" t="str">
        <f aca="false">IFERROR(INDEX(Реестр!$A$11:$AI$19,MATCH(2,_calc!$C$1:$C$9,0),MATCH("Тип объекта",Реестр!$A$10:$AI$10,0)),"")</f>
        <v>Нежилое помещение</v>
      </c>
      <c r="E11" s="50" t="n">
        <f aca="false">IFERROR(INDEX(Реестр!$A$11:$AI$19,MATCH(2,_calc!$C$1:$C$9,0),MATCH("Площадь, м²",Реестр!$A$10:$AI$10,0)),"")</f>
        <v>13.1</v>
      </c>
      <c r="F11" s="51" t="n">
        <f aca="false">IFERROR(INDEX(Реестр!$A$11:$AI$19,MATCH(2,_calc!$C$1:$C$9,0),MATCH("Начальная цена, ₽",Реестр!$A$10:$AI$10,0)),"")</f>
        <v>17225000</v>
      </c>
      <c r="G11" s="51" t="n">
        <f aca="false">IFERROR(INDEX(Реестр!$A$11:$AI$19,MATCH(2,_calc!$C$1:$C$9,0),MATCH("Цена за м², ₽",Реестр!$A$10:$AI$10,0)),"")</f>
        <v>1314885.49618321</v>
      </c>
      <c r="H11" s="52" t="n">
        <f aca="false">IFERROR(INDEX(Реестр!$A$11:$AI$19,MATCH(2,_calc!$C$1:$C$9,0),MATCH("Приём заявок до",Реестр!$A$10:$AI$10,0)),"")</f>
        <v>46337.625</v>
      </c>
      <c r="I11" s="52" t="n">
        <f aca="false">IFERROR(INDEX(Реестр!$A$11:$AI$19,MATCH(2,_calc!$C$1:$C$9,0),MATCH("Дата торгов",Реестр!$A$10:$AI$10,0)),"")</f>
        <v>46346.4166666667</v>
      </c>
      <c r="J11" s="53" t="n">
        <f aca="false">IFERROR(IF(AND(OR($D$5="Приём заявок до",$D$5="Дата торгов"),ISNUMBER(INDEX(_calc!$A$1:$A$9,MATCH(2,_calc!$C$1:$C$9,0)))),RIGHT("0"&amp;DAY(INDEX(_calc!$A$1:$A$9,MATCH(2,_calc!$C$1:$C$9,0))),2)&amp;"."&amp;RIGHT("0"&amp;MONTH(INDEX(_calc!$A$1:$A$9,MATCH(2,_calc!$C$1:$C$9,0))),2)&amp;"."&amp;YEAR(INDEX(_calc!$A$1:$A$9,MATCH(2,_calc!$C$1:$C$9,0))),INDEX(_calc!$A$1:$A$9,MATCH(2,_calc!$C$1:$C$9,0))),"")</f>
        <v>17225000</v>
      </c>
      <c r="K11" s="54" t="str">
        <f aca="false">IFERROR(INDEX(Реестр!$A$11:$AI$19,MATCH(2,_calc!$C$1:$C$9,0),MATCH("Метро",Реестр!$A$10:$AI$10,0)),"")</f>
        <v>Арбатская</v>
      </c>
      <c r="L11" s="55" t="n">
        <f aca="false">IFERROR(INDEX(Реестр!$A$11:$AI$19,MATCH(2,_calc!$C$1:$C$9,0),MATCH("Дней до конца приёма",Реестр!$A$10:$AI$10,0)),"")</f>
        <v>22</v>
      </c>
    </row>
    <row r="12" customFormat="false" ht="30" hidden="false" customHeight="true" outlineLevel="0" collapsed="false">
      <c r="B12" s="56" t="n">
        <v>3</v>
      </c>
      <c r="C12" s="21" t="str">
        <f aca="false">IFERROR(INDEX(Реестр!$A$11:$AI$19,MATCH(3,_calc!$C$1:$C$9,0),MATCH("Адрес",Реестр!$A$10:$AI$10,0)),"")</f>
        <v>ул. Бахрушина, д. 1, стр. 1, этаж 1, помещение 5/1</v>
      </c>
      <c r="D12" s="20" t="str">
        <f aca="false">IFERROR(INDEX(Реестр!$A$11:$AI$19,MATCH(3,_calc!$C$1:$C$9,0),MATCH("Тип объекта",Реестр!$A$10:$AI$10,0)),"")</f>
        <v>Нежилое помещение</v>
      </c>
      <c r="E12" s="42" t="n">
        <f aca="false">IFERROR(INDEX(Реестр!$A$11:$AI$19,MATCH(3,_calc!$C$1:$C$9,0),MATCH("Площадь, м²",Реестр!$A$10:$AI$10,0)),"")</f>
        <v>167.1</v>
      </c>
      <c r="F12" s="43" t="n">
        <f aca="false">IFERROR(INDEX(Реестр!$A$11:$AI$19,MATCH(3,_calc!$C$1:$C$9,0),MATCH("Начальная цена, ₽",Реестр!$A$10:$AI$10,0)),"")</f>
        <v>50797000</v>
      </c>
      <c r="G12" s="43" t="n">
        <f aca="false">IFERROR(INDEX(Реестр!$A$11:$AI$19,MATCH(3,_calc!$C$1:$C$9,0),MATCH("Цена за м², ₽",Реестр!$A$10:$AI$10,0)),"")</f>
        <v>303991.621783363</v>
      </c>
      <c r="H12" s="44" t="n">
        <f aca="false">IFERROR(INDEX(Реестр!$A$11:$AI$19,MATCH(3,_calc!$C$1:$C$9,0),MATCH("Приём заявок до",Реестр!$A$10:$AI$10,0)),"")</f>
        <v>46335.625</v>
      </c>
      <c r="I12" s="44" t="n">
        <f aca="false">IFERROR(INDEX(Реестр!$A$11:$AI$19,MATCH(3,_calc!$C$1:$C$9,0),MATCH("Дата торгов",Реестр!$A$10:$AI$10,0)),"")</f>
        <v>46343.4166666667</v>
      </c>
      <c r="J12" s="45" t="n">
        <f aca="false">IFERROR(IF(AND(OR($D$5="Приём заявок до",$D$5="Дата торгов"),ISNUMBER(INDEX(_calc!$A$1:$A$9,MATCH(3,_calc!$C$1:$C$9,0)))),RIGHT("0"&amp;DAY(INDEX(_calc!$A$1:$A$9,MATCH(3,_calc!$C$1:$C$9,0))),2)&amp;"."&amp;RIGHT("0"&amp;MONTH(INDEX(_calc!$A$1:$A$9,MATCH(3,_calc!$C$1:$C$9,0))),2)&amp;"."&amp;YEAR(INDEX(_calc!$A$1:$A$9,MATCH(3,_calc!$C$1:$C$9,0))),INDEX(_calc!$A$1:$A$9,MATCH(3,_calc!$C$1:$C$9,0))),"")</f>
        <v>50797000</v>
      </c>
      <c r="K12" s="22" t="str">
        <f aca="false">IFERROR(INDEX(Реестр!$A$11:$AI$19,MATCH(3,_calc!$C$1:$C$9,0),MATCH("Метро",Реестр!$A$10:$AI$10,0)),"")</f>
        <v>Павелецкая</v>
      </c>
      <c r="L12" s="46" t="n">
        <f aca="false">IFERROR(INDEX(Реестр!$A$11:$AI$19,MATCH(3,_calc!$C$1:$C$9,0),MATCH("Дней до конца приёма",Реестр!$A$10:$AI$10,0)),"")</f>
        <v>20</v>
      </c>
    </row>
    <row r="13" customFormat="false" ht="30" hidden="false" customHeight="true" outlineLevel="0" collapsed="false">
      <c r="B13" s="57" t="n">
        <v>4</v>
      </c>
      <c r="C13" s="48" t="str">
        <f aca="false">IFERROR(INDEX(Реестр!$A$11:$AI$19,MATCH(4,_calc!$C$1:$C$9,0),MATCH("Адрес",Реестр!$A$10:$AI$10,0)),"")</f>
        <v>Большая Сухаревская пл., д. 1/2, стр. 1, помещ. 3/1</v>
      </c>
      <c r="D13" s="49" t="str">
        <f aca="false">IFERROR(INDEX(Реестр!$A$11:$AI$19,MATCH(4,_calc!$C$1:$C$9,0),MATCH("Тип объекта",Реестр!$A$10:$AI$10,0)),"")</f>
        <v>Нежилое помещение</v>
      </c>
      <c r="E13" s="50" t="n">
        <f aca="false">IFERROR(INDEX(Реестр!$A$11:$AI$19,MATCH(4,_calc!$C$1:$C$9,0),MATCH("Площадь, м²",Реестр!$A$10:$AI$10,0)),"")</f>
        <v>315.5</v>
      </c>
      <c r="F13" s="51" t="n">
        <f aca="false">IFERROR(INDEX(Реестр!$A$11:$AI$19,MATCH(4,_calc!$C$1:$C$9,0),MATCH("Начальная цена, ₽",Реестр!$A$10:$AI$10,0)),"")</f>
        <v>112951260</v>
      </c>
      <c r="G13" s="51" t="n">
        <f aca="false">IFERROR(INDEX(Реестр!$A$11:$AI$19,MATCH(4,_calc!$C$1:$C$9,0),MATCH("Цена за м², ₽",Реестр!$A$10:$AI$10,0)),"")</f>
        <v>358007.163232964</v>
      </c>
      <c r="H13" s="52" t="n">
        <f aca="false">IFERROR(INDEX(Реестр!$A$11:$AI$19,MATCH(4,_calc!$C$1:$C$9,0),MATCH("Приём заявок до",Реестр!$A$10:$AI$10,0)),"")</f>
        <v>46369.5833333333</v>
      </c>
      <c r="I13" s="52" t="n">
        <f aca="false">IFERROR(INDEX(Реестр!$A$11:$AI$19,MATCH(4,_calc!$C$1:$C$9,0),MATCH("Дата торгов",Реестр!$A$10:$AI$10,0)),"")</f>
        <v>46373.4583333333</v>
      </c>
      <c r="J13" s="53" t="n">
        <f aca="false">IFERROR(IF(AND(OR($D$5="Приём заявок до",$D$5="Дата торгов"),ISNUMBER(INDEX(_calc!$A$1:$A$9,MATCH(4,_calc!$C$1:$C$9,0)))),RIGHT("0"&amp;DAY(INDEX(_calc!$A$1:$A$9,MATCH(4,_calc!$C$1:$C$9,0))),2)&amp;"."&amp;RIGHT("0"&amp;MONTH(INDEX(_calc!$A$1:$A$9,MATCH(4,_calc!$C$1:$C$9,0))),2)&amp;"."&amp;YEAR(INDEX(_calc!$A$1:$A$9,MATCH(4,_calc!$C$1:$C$9,0))),INDEX(_calc!$A$1:$A$9,MATCH(4,_calc!$C$1:$C$9,0))),"")</f>
        <v>112951260</v>
      </c>
      <c r="K13" s="54" t="str">
        <f aca="false">IFERROR(INDEX(Реестр!$A$11:$AI$19,MATCH(4,_calc!$C$1:$C$9,0),MATCH("Метро",Реестр!$A$10:$AI$10,0)),"")</f>
        <v>Сухаревская</v>
      </c>
      <c r="L13" s="55" t="n">
        <f aca="false">IFERROR(INDEX(Реестр!$A$11:$AI$19,MATCH(4,_calc!$C$1:$C$9,0),MATCH("Дней до конца приёма",Реестр!$A$10:$AI$10,0)),"")</f>
        <v>54</v>
      </c>
    </row>
    <row r="14" customFormat="false" ht="30" hidden="false" customHeight="true" outlineLevel="0" collapsed="false">
      <c r="B14" s="57" t="n">
        <v>5</v>
      </c>
      <c r="C14" s="21" t="str">
        <f aca="false">IFERROR(INDEX(Реестр!$A$11:$AI$19,MATCH(5,_calc!$C$1:$C$9,0),MATCH("Адрес",Реестр!$A$10:$AI$10,0)),"")</f>
        <v>Каширское ш., д. 88/26, стр. 2</v>
      </c>
      <c r="D14" s="20" t="str">
        <f aca="false">IFERROR(INDEX(Реестр!$A$11:$AI$19,MATCH(5,_calc!$C$1:$C$9,0),MATCH("Тип объекта",Реестр!$A$10:$AI$10,0)),"")</f>
        <v>Здание + земельный участок</v>
      </c>
      <c r="E14" s="42" t="n">
        <f aca="false">IFERROR(INDEX(Реестр!$A$11:$AI$19,MATCH(5,_calc!$C$1:$C$9,0),MATCH("Площадь, м²",Реестр!$A$10:$AI$10,0)),"")</f>
        <v>898.3</v>
      </c>
      <c r="F14" s="43" t="n">
        <f aca="false">IFERROR(INDEX(Реестр!$A$11:$AI$19,MATCH(5,_calc!$C$1:$C$9,0),MATCH("Начальная цена, ₽",Реестр!$A$10:$AI$10,0)),"")</f>
        <v>158898000</v>
      </c>
      <c r="G14" s="43" t="n">
        <f aca="false">IFERROR(INDEX(Реестр!$A$11:$AI$19,MATCH(5,_calc!$C$1:$C$9,0),MATCH("Цена за м², ₽",Реестр!$A$10:$AI$10,0)),"")</f>
        <v>176887.454079929</v>
      </c>
      <c r="H14" s="44" t="n">
        <f aca="false">IFERROR(INDEX(Реестр!$A$11:$AI$19,MATCH(5,_calc!$C$1:$C$9,0),MATCH("Приём заявок до",Реестр!$A$10:$AI$10,0)),"")</f>
        <v>46335.625</v>
      </c>
      <c r="I14" s="44" t="n">
        <f aca="false">IFERROR(INDEX(Реестр!$A$11:$AI$19,MATCH(5,_calc!$C$1:$C$9,0),MATCH("Дата торгов",Реестр!$A$10:$AI$10,0)),"")</f>
        <v>46343.4166666667</v>
      </c>
      <c r="J14" s="45" t="n">
        <f aca="false">IFERROR(IF(AND(OR($D$5="Приём заявок до",$D$5="Дата торгов"),ISNUMBER(INDEX(_calc!$A$1:$A$9,MATCH(5,_calc!$C$1:$C$9,0)))),RIGHT("0"&amp;DAY(INDEX(_calc!$A$1:$A$9,MATCH(5,_calc!$C$1:$C$9,0))),2)&amp;"."&amp;RIGHT("0"&amp;MONTH(INDEX(_calc!$A$1:$A$9,MATCH(5,_calc!$C$1:$C$9,0))),2)&amp;"."&amp;YEAR(INDEX(_calc!$A$1:$A$9,MATCH(5,_calc!$C$1:$C$9,0))),INDEX(_calc!$A$1:$A$9,MATCH(5,_calc!$C$1:$C$9,0))),"")</f>
        <v>158898000</v>
      </c>
      <c r="K14" s="22" t="str">
        <f aca="false">IFERROR(INDEX(Реестр!$A$11:$AI$19,MATCH(5,_calc!$C$1:$C$9,0),MATCH("Метро",Реестр!$A$10:$AI$10,0)),"")</f>
        <v>Домодедовская</v>
      </c>
      <c r="L14" s="46" t="n">
        <f aca="false">IFERROR(INDEX(Реестр!$A$11:$AI$19,MATCH(5,_calc!$C$1:$C$9,0),MATCH("Дней до конца приёма",Реестр!$A$10:$AI$10,0)),"")</f>
        <v>20</v>
      </c>
    </row>
    <row r="15" customFormat="false" ht="30" hidden="false" customHeight="true" outlineLevel="0" collapsed="false">
      <c r="B15" s="57" t="n">
        <v>6</v>
      </c>
      <c r="C15" s="48" t="str">
        <f aca="false">IFERROR(INDEX(Реестр!$A$11:$AI$19,MATCH(6,_calc!$C$1:$C$9,0),MATCH("Адрес",Реестр!$A$10:$AI$10,0)),"")</f>
        <v>Неглинная ул., д. 18/1, стр. 2</v>
      </c>
      <c r="D15" s="49" t="str">
        <f aca="false">IFERROR(INDEX(Реестр!$A$11:$AI$19,MATCH(6,_calc!$C$1:$C$9,0),MATCH("Тип объекта",Реестр!$A$10:$AI$10,0)),"")</f>
        <v>Здание + земельный участок</v>
      </c>
      <c r="E15" s="50" t="n">
        <f aca="false">IFERROR(INDEX(Реестр!$A$11:$AI$19,MATCH(6,_calc!$C$1:$C$9,0),MATCH("Площадь, м²",Реестр!$A$10:$AI$10,0)),"")</f>
        <v>634.4</v>
      </c>
      <c r="F15" s="51" t="n">
        <f aca="false">IFERROR(INDEX(Реестр!$A$11:$AI$19,MATCH(6,_calc!$C$1:$C$9,0),MATCH("Начальная цена, ₽",Реестр!$A$10:$AI$10,0)),"")</f>
        <v>195014000</v>
      </c>
      <c r="G15" s="51" t="n">
        <f aca="false">IFERROR(INDEX(Реестр!$A$11:$AI$19,MATCH(6,_calc!$C$1:$C$9,0),MATCH("Цена за м², ₽",Реестр!$A$10:$AI$10,0)),"")</f>
        <v>307399.117276166</v>
      </c>
      <c r="H15" s="52" t="n">
        <f aca="false">IFERROR(INDEX(Реестр!$A$11:$AI$19,MATCH(6,_calc!$C$1:$C$9,0),MATCH("Приём заявок до",Реестр!$A$10:$AI$10,0)),"")</f>
        <v>46335.625</v>
      </c>
      <c r="I15" s="52" t="n">
        <f aca="false">IFERROR(INDEX(Реестр!$A$11:$AI$19,MATCH(6,_calc!$C$1:$C$9,0),MATCH("Дата торгов",Реестр!$A$10:$AI$10,0)),"")</f>
        <v>46343.4166666667</v>
      </c>
      <c r="J15" s="53" t="n">
        <f aca="false">IFERROR(IF(AND(OR($D$5="Приём заявок до",$D$5="Дата торгов"),ISNUMBER(INDEX(_calc!$A$1:$A$9,MATCH(6,_calc!$C$1:$C$9,0)))),RIGHT("0"&amp;DAY(INDEX(_calc!$A$1:$A$9,MATCH(6,_calc!$C$1:$C$9,0))),2)&amp;"."&amp;RIGHT("0"&amp;MONTH(INDEX(_calc!$A$1:$A$9,MATCH(6,_calc!$C$1:$C$9,0))),2)&amp;"."&amp;YEAR(INDEX(_calc!$A$1:$A$9,MATCH(6,_calc!$C$1:$C$9,0))),INDEX(_calc!$A$1:$A$9,MATCH(6,_calc!$C$1:$C$9,0))),"")</f>
        <v>195014000</v>
      </c>
      <c r="K15" s="54" t="str">
        <f aca="false">IFERROR(INDEX(Реестр!$A$11:$AI$19,MATCH(6,_calc!$C$1:$C$9,0),MATCH("Метро",Реестр!$A$10:$AI$10,0)),"")</f>
        <v>Трубная</v>
      </c>
      <c r="L15" s="55" t="n">
        <f aca="false">IFERROR(INDEX(Реестр!$A$11:$AI$19,MATCH(6,_calc!$C$1:$C$9,0),MATCH("Дней до конца приёма",Реестр!$A$10:$AI$10,0)),"")</f>
        <v>20</v>
      </c>
    </row>
    <row r="16" customFormat="false" ht="30" hidden="false" customHeight="true" outlineLevel="0" collapsed="false">
      <c r="B16" s="57" t="n">
        <v>7</v>
      </c>
      <c r="C16" s="21" t="str">
        <f aca="false">IFERROR(INDEX(Реестр!$A$11:$AI$19,MATCH(7,_calc!$C$1:$C$9,0),MATCH("Адрес",Реестр!$A$10:$AI$10,0)),"")</f>
        <v>ул. Покровка, д. 19, этаж 1</v>
      </c>
      <c r="D16" s="20" t="str">
        <f aca="false">IFERROR(INDEX(Реестр!$A$11:$AI$19,MATCH(7,_calc!$C$1:$C$9,0),MATCH("Тип объекта",Реестр!$A$10:$AI$10,0)),"")</f>
        <v>Нежилое помещение</v>
      </c>
      <c r="E16" s="42" t="n">
        <f aca="false">IFERROR(INDEX(Реестр!$A$11:$AI$19,MATCH(7,_calc!$C$1:$C$9,0),MATCH("Площадь, м²",Реестр!$A$10:$AI$10,0)),"")</f>
        <v>431.2</v>
      </c>
      <c r="F16" s="43" t="n">
        <f aca="false">IFERROR(INDEX(Реестр!$A$11:$AI$19,MATCH(7,_calc!$C$1:$C$9,0),MATCH("Начальная цена, ₽",Реестр!$A$10:$AI$10,0)),"")</f>
        <v>239527000</v>
      </c>
      <c r="G16" s="43" t="n">
        <f aca="false">IFERROR(INDEX(Реестр!$A$11:$AI$19,MATCH(7,_calc!$C$1:$C$9,0),MATCH("Цена за м², ₽",Реестр!$A$10:$AI$10,0)),"")</f>
        <v>555489.332096475</v>
      </c>
      <c r="H16" s="44" t="n">
        <f aca="false">IFERROR(INDEX(Реестр!$A$11:$AI$19,MATCH(7,_calc!$C$1:$C$9,0),MATCH("Приём заявок до",Реестр!$A$10:$AI$10,0)),"")</f>
        <v>46342.625</v>
      </c>
      <c r="I16" s="44" t="n">
        <f aca="false">IFERROR(INDEX(Реестр!$A$11:$AI$19,MATCH(7,_calc!$C$1:$C$9,0),MATCH("Дата торгов",Реестр!$A$10:$AI$10,0)),"")</f>
        <v>46350.4166666667</v>
      </c>
      <c r="J16" s="45" t="n">
        <f aca="false">IFERROR(IF(AND(OR($D$5="Приём заявок до",$D$5="Дата торгов"),ISNUMBER(INDEX(_calc!$A$1:$A$9,MATCH(7,_calc!$C$1:$C$9,0)))),RIGHT("0"&amp;DAY(INDEX(_calc!$A$1:$A$9,MATCH(7,_calc!$C$1:$C$9,0))),2)&amp;"."&amp;RIGHT("0"&amp;MONTH(INDEX(_calc!$A$1:$A$9,MATCH(7,_calc!$C$1:$C$9,0))),2)&amp;"."&amp;YEAR(INDEX(_calc!$A$1:$A$9,MATCH(7,_calc!$C$1:$C$9,0))),INDEX(_calc!$A$1:$A$9,MATCH(7,_calc!$C$1:$C$9,0))),"")</f>
        <v>239527000</v>
      </c>
      <c r="K16" s="22" t="str">
        <f aca="false">IFERROR(INDEX(Реестр!$A$11:$AI$19,MATCH(7,_calc!$C$1:$C$9,0),MATCH("Метро",Реестр!$A$10:$AI$10,0)),"")</f>
        <v>Чистые пруды</v>
      </c>
      <c r="L16" s="46" t="n">
        <f aca="false">IFERROR(INDEX(Реестр!$A$11:$AI$19,MATCH(7,_calc!$C$1:$C$9,0),MATCH("Дней до конца приёма",Реестр!$A$10:$AI$10,0)),"")</f>
        <v>27</v>
      </c>
    </row>
    <row r="17" customFormat="false" ht="30" hidden="false" customHeight="true" outlineLevel="0" collapsed="false">
      <c r="B17" s="57" t="n">
        <v>8</v>
      </c>
      <c r="C17" s="48" t="str">
        <f aca="false">IFERROR(INDEX(Реестр!$A$11:$AI$19,MATCH(8,_calc!$C$1:$C$9,0),MATCH("Адрес",Реестр!$A$10:$AI$10,0)),"")</f>
        <v>Пятницкая ул., д. 15</v>
      </c>
      <c r="D17" s="49" t="str">
        <f aca="false">IFERROR(INDEX(Реестр!$A$11:$AI$19,MATCH(8,_calc!$C$1:$C$9,0),MATCH("Тип объекта",Реестр!$A$10:$AI$10,0)),"")</f>
        <v>Здание</v>
      </c>
      <c r="E17" s="50" t="n">
        <f aca="false">IFERROR(INDEX(Реестр!$A$11:$AI$19,MATCH(8,_calc!$C$1:$C$9,0),MATCH("Площадь, м²",Реестр!$A$10:$AI$10,0)),"")</f>
        <v>1030.1</v>
      </c>
      <c r="F17" s="51" t="n">
        <f aca="false">IFERROR(INDEX(Реестр!$A$11:$AI$19,MATCH(8,_calc!$C$1:$C$9,0),MATCH("Начальная цена, ₽",Реестр!$A$10:$AI$10,0)),"")</f>
        <v>263000000</v>
      </c>
      <c r="G17" s="51" t="n">
        <f aca="false">IFERROR(INDEX(Реестр!$A$11:$AI$19,MATCH(8,_calc!$C$1:$C$9,0),MATCH("Цена за м², ₽",Реестр!$A$10:$AI$10,0)),"")</f>
        <v>255315.017959421</v>
      </c>
      <c r="H17" s="52" t="n">
        <f aca="false">IFERROR(INDEX(Реестр!$A$11:$AI$19,MATCH(8,_calc!$C$1:$C$9,0),MATCH("Приём заявок до",Реестр!$A$10:$AI$10,0)),"")</f>
        <v>46339.625</v>
      </c>
      <c r="I17" s="52" t="n">
        <f aca="false">IFERROR(INDEX(Реестр!$A$11:$AI$19,MATCH(8,_calc!$C$1:$C$9,0),MATCH("Дата торгов",Реестр!$A$10:$AI$10,0)),"")</f>
        <v>46346.4166666667</v>
      </c>
      <c r="J17" s="53" t="n">
        <f aca="false">IFERROR(IF(AND(OR($D$5="Приём заявок до",$D$5="Дата торгов"),ISNUMBER(INDEX(_calc!$A$1:$A$9,MATCH(8,_calc!$C$1:$C$9,0)))),RIGHT("0"&amp;DAY(INDEX(_calc!$A$1:$A$9,MATCH(8,_calc!$C$1:$C$9,0))),2)&amp;"."&amp;RIGHT("0"&amp;MONTH(INDEX(_calc!$A$1:$A$9,MATCH(8,_calc!$C$1:$C$9,0))),2)&amp;"."&amp;YEAR(INDEX(_calc!$A$1:$A$9,MATCH(8,_calc!$C$1:$C$9,0))),INDEX(_calc!$A$1:$A$9,MATCH(8,_calc!$C$1:$C$9,0))),"")</f>
        <v>263000000</v>
      </c>
      <c r="K17" s="54" t="str">
        <f aca="false">IFERROR(INDEX(Реестр!$A$11:$AI$19,MATCH(8,_calc!$C$1:$C$9,0),MATCH("Метро",Реестр!$A$10:$AI$10,0)),"")</f>
        <v>Новокузнецкая</v>
      </c>
      <c r="L17" s="55" t="n">
        <f aca="false">IFERROR(INDEX(Реестр!$A$11:$AI$19,MATCH(8,_calc!$C$1:$C$9,0),MATCH("Дней до конца приёма",Реестр!$A$10:$AI$10,0)),"")</f>
        <v>24</v>
      </c>
    </row>
    <row r="18" customFormat="false" ht="30" hidden="false" customHeight="true" outlineLevel="0" collapsed="false">
      <c r="B18" s="57" t="n">
        <v>9</v>
      </c>
      <c r="C18" s="21" t="str">
        <f aca="false">IFERROR(INDEX(Реестр!$A$11:$AI$19,MATCH(9,_calc!$C$1:$C$9,0),MATCH("Адрес",Реестр!$A$10:$AI$10,0)),"")</f>
        <v>Краснопрудная ул., д. 3Б (земельный участок 3/5/1), здание Ярославского ПЖДП</v>
      </c>
      <c r="D18" s="20" t="str">
        <f aca="false">IFERROR(INDEX(Реестр!$A$11:$AI$19,MATCH(9,_calc!$C$1:$C$9,0),MATCH("Тип объекта",Реестр!$A$10:$AI$10,0)),"")</f>
        <v>Здание + земельный участок</v>
      </c>
      <c r="E18" s="42" t="n">
        <f aca="false">IFERROR(INDEX(Реестр!$A$11:$AI$19,MATCH(9,_calc!$C$1:$C$9,0),MATCH("Площадь, м²",Реестр!$A$10:$AI$10,0)),"")</f>
        <v>1259.3</v>
      </c>
      <c r="F18" s="43" t="n">
        <f aca="false">IFERROR(INDEX(Реестр!$A$11:$AI$19,MATCH(9,_calc!$C$1:$C$9,0),MATCH("Начальная цена, ₽",Реестр!$A$10:$AI$10,0)),"")</f>
        <v>289558721</v>
      </c>
      <c r="G18" s="43" t="n">
        <f aca="false">IFERROR(INDEX(Реестр!$A$11:$AI$19,MATCH(9,_calc!$C$1:$C$9,0),MATCH("Цена за м², ₽",Реестр!$A$10:$AI$10,0)),"")</f>
        <v>229936.251091876</v>
      </c>
      <c r="H18" s="44" t="n">
        <f aca="false">IFERROR(INDEX(Реестр!$A$11:$AI$19,MATCH(9,_calc!$C$1:$C$9,0),MATCH("Приём заявок до",Реестр!$A$10:$AI$10,0)),"")</f>
        <v>46351.9993055556</v>
      </c>
      <c r="I18" s="44" t="n">
        <f aca="false">IFERROR(INDEX(Реестр!$A$11:$AI$19,MATCH(9,_calc!$C$1:$C$9,0),MATCH("Дата торгов",Реестр!$A$10:$AI$10,0)),"")</f>
        <v>46356.4583333333</v>
      </c>
      <c r="J18" s="45" t="n">
        <f aca="false">IFERROR(IF(AND(OR($D$5="Приём заявок до",$D$5="Дата торгов"),ISNUMBER(INDEX(_calc!$A$1:$A$9,MATCH(9,_calc!$C$1:$C$9,0)))),RIGHT("0"&amp;DAY(INDEX(_calc!$A$1:$A$9,MATCH(9,_calc!$C$1:$C$9,0))),2)&amp;"."&amp;RIGHT("0"&amp;MONTH(INDEX(_calc!$A$1:$A$9,MATCH(9,_calc!$C$1:$C$9,0))),2)&amp;"."&amp;YEAR(INDEX(_calc!$A$1:$A$9,MATCH(9,_calc!$C$1:$C$9,0))),INDEX(_calc!$A$1:$A$9,MATCH(9,_calc!$C$1:$C$9,0))),"")</f>
        <v>289558721</v>
      </c>
      <c r="K18" s="22" t="str">
        <f aca="false">IFERROR(INDEX(Реестр!$A$11:$AI$19,MATCH(9,_calc!$C$1:$C$9,0),MATCH("Метро",Реестр!$A$10:$AI$10,0)),"")</f>
        <v>Красносельская</v>
      </c>
      <c r="L18" s="46" t="n">
        <f aca="false">IFERROR(INDEX(Реестр!$A$11:$AI$19,MATCH(9,_calc!$C$1:$C$9,0),MATCH("Дней до конца приёма",Реестр!$A$10:$AI$10,0)),"")</f>
        <v>36</v>
      </c>
    </row>
    <row r="20" customFormat="false" ht="15" hidden="false" customHeight="false" outlineLevel="0" collapsed="false">
      <c r="B20" s="39" t="s">
        <v>150</v>
      </c>
    </row>
  </sheetData>
  <mergeCells count="4">
    <mergeCell ref="B5:C5"/>
    <mergeCell ref="D5:F5"/>
    <mergeCell ref="B6:C6"/>
    <mergeCell ref="D6:F6"/>
  </mergeCells>
  <conditionalFormatting sqref="J10:J18">
    <cfRule type="dataBar" priority="2">
      <dataBar showValue="1" minLength="10" maxLength="90">
        <cfvo type="num" val="0"/>
        <cfvo type="max" val="0"/>
        <color rgb="FF2BB3A3"/>
      </dataBar>
      <extLst>
        <ext xmlns:x14="http://schemas.microsoft.com/office/spreadsheetml/2009/9/main" uri="{B025F937-C7B1-47D3-B67F-A62EFF666E3E}">
          <x14:id>{30F0D05E-2BFC-4E10-B6DB-F29074C4F790}</x14:id>
        </ext>
      </extLst>
    </cfRule>
  </conditionalFormatting>
  <conditionalFormatting sqref="G10:G18">
    <cfRule type="dataBar" priority="3">
      <dataBar showValue="1" minLength="10" maxLength="90">
        <cfvo type="num" val="0"/>
        <cfvo type="max" val="0"/>
        <color rgb="FF5B8DEF"/>
      </dataBar>
      <extLst>
        <ext xmlns:x14="http://schemas.microsoft.com/office/spreadsheetml/2009/9/main" uri="{B025F937-C7B1-47D3-B67F-A62EFF666E3E}">
          <x14:id>{E8935743-9260-4A31-96D6-872D2DF394B3}</x14:id>
        </ext>
      </extLst>
    </cfRule>
  </conditionalFormatting>
  <dataValidations count="2">
    <dataValidation allowBlank="false" errorStyle="stop" operator="between" showDropDown="false" showErrorMessage="false" showInputMessage="false" sqref="D5" type="list">
      <formula1>_calc!$D$1:$D$10</formula1>
      <formula2>0</formula2>
    </dataValidation>
    <dataValidation allowBlank="false" errorStyle="stop" operator="between" showDropDown="false" showErrorMessage="false" showInputMessage="false" sqref="D6" type="list">
      <formula1>_calc!$E$1:$E$2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0D05E-2BFC-4E10-B6DB-F29074C4F790}">
            <x14:dataBar minLength="10" maxLength="90" axisPosition="none" gradient="true">
              <x14:cfvo type="num">
                <xm:f>0</xm:f>
              </x14:cfvo>
              <x14:cfvo type="max"/>
              <x14:negativeFillColor rgb="FF2BB3A3"/>
              <x14:axisColor rgb="FF000000"/>
            </x14:dataBar>
          </x14:cfRule>
          <xm:sqref>J10:J18</xm:sqref>
        </x14:conditionalFormatting>
        <x14:conditionalFormatting xmlns:xm="http://schemas.microsoft.com/office/excel/2006/main">
          <x14:cfRule type="dataBar" id="{E8935743-9260-4A31-96D6-872D2DF394B3}">
            <x14:dataBar minLength="10" maxLength="90" axisPosition="none" gradient="true">
              <x14:cfvo type="num">
                <xm:f>0</xm:f>
              </x14:cfvo>
              <x14:cfvo type="max"/>
              <x14:negativeFillColor rgb="FF5B8DEF"/>
              <x14:axisColor rgb="FF000000"/>
            </x14:dataBar>
          </x14:cfRule>
          <xm:sqref>G10:G18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58" t="n">
        <f aca="false">INDEX(Реестр!$A$11:$AI$19,1,MATCH(Сортировка!$D$5,Реестр!$A$10:$AI$10,0))</f>
        <v>15384000</v>
      </c>
      <c r="B1" s="58" t="n">
        <f aca="false">IF(ISNUMBER(A1),IF(Сортировка!$D$6="По убыванию",-A1,A1),1E+300)</f>
        <v>15384000</v>
      </c>
      <c r="C1" s="0" t="n">
        <f aca="false">COUNTIF($B$1:$B$9,"&lt;"&amp;B1)+COUNTIF($B$1:B1,B1)</f>
        <v>1</v>
      </c>
      <c r="D1" s="0" t="s">
        <v>38</v>
      </c>
      <c r="E1" s="0" t="s">
        <v>146</v>
      </c>
    </row>
    <row r="2" customFormat="false" ht="15" hidden="false" customHeight="false" outlineLevel="0" collapsed="false">
      <c r="A2" s="58" t="n">
        <f aca="false">INDEX(Реестр!$A$11:$AI$19,2,MATCH(Сортировка!$D$5,Реестр!$A$10:$AI$10,0))</f>
        <v>17225000</v>
      </c>
      <c r="B2" s="58" t="n">
        <f aca="false">IF(ISNUMBER(A2),IF(Сортировка!$D$6="По убыванию",-A2,A2),1E+300)</f>
        <v>17225000</v>
      </c>
      <c r="C2" s="0" t="n">
        <f aca="false">COUNTIF($B$1:$B$9,"&lt;"&amp;B2)+COUNTIF($B$1:B2,B2)</f>
        <v>2</v>
      </c>
      <c r="D2" s="0" t="s">
        <v>39</v>
      </c>
      <c r="E2" s="0" t="s">
        <v>151</v>
      </c>
    </row>
    <row r="3" customFormat="false" ht="15" hidden="false" customHeight="false" outlineLevel="0" collapsed="false">
      <c r="A3" s="58" t="n">
        <f aca="false">INDEX(Реестр!$A$11:$AI$19,3,MATCH(Сортировка!$D$5,Реестр!$A$10:$AI$10,0))</f>
        <v>50797000</v>
      </c>
      <c r="B3" s="58" t="n">
        <f aca="false">IF(ISNUMBER(A3),IF(Сортировка!$D$6="По убыванию",-A3,A3),1E+300)</f>
        <v>50797000</v>
      </c>
      <c r="C3" s="0" t="n">
        <f aca="false">COUNTIF($B$1:$B$9,"&lt;"&amp;B3)+COUNTIF($B$1:B3,B3)</f>
        <v>3</v>
      </c>
      <c r="D3" s="0" t="s">
        <v>27</v>
      </c>
    </row>
    <row r="4" customFormat="false" ht="15" hidden="false" customHeight="false" outlineLevel="0" collapsed="false">
      <c r="A4" s="58" t="n">
        <f aca="false">INDEX(Реестр!$A$11:$AI$19,4,MATCH(Сортировка!$D$5,Реестр!$A$10:$AI$10,0))</f>
        <v>112951260</v>
      </c>
      <c r="B4" s="58" t="n">
        <f aca="false">IF(ISNUMBER(A4),IF(Сортировка!$D$6="По убыванию",-A4,A4),1E+300)</f>
        <v>112951260</v>
      </c>
      <c r="C4" s="0" t="n">
        <f aca="false">COUNTIF($B$1:$B$9,"&lt;"&amp;B4)+COUNTIF($B$1:B4,B4)</f>
        <v>4</v>
      </c>
      <c r="D4" s="0" t="s">
        <v>40</v>
      </c>
    </row>
    <row r="5" customFormat="false" ht="15" hidden="false" customHeight="false" outlineLevel="0" collapsed="false">
      <c r="A5" s="58" t="n">
        <f aca="false">INDEX(Реестр!$A$11:$AI$19,5,MATCH(Сортировка!$D$5,Реестр!$A$10:$AI$10,0))</f>
        <v>158898000</v>
      </c>
      <c r="B5" s="58" t="n">
        <f aca="false">IF(ISNUMBER(A5),IF(Сортировка!$D$6="По убыванию",-A5,A5),1E+300)</f>
        <v>158898000</v>
      </c>
      <c r="C5" s="0" t="n">
        <f aca="false">COUNTIF($B$1:$B$9,"&lt;"&amp;B5)+COUNTIF($B$1:B5,B5)</f>
        <v>5</v>
      </c>
      <c r="D5" s="0" t="s">
        <v>41</v>
      </c>
    </row>
    <row r="6" customFormat="false" ht="15" hidden="false" customHeight="false" outlineLevel="0" collapsed="false">
      <c r="A6" s="58" t="n">
        <f aca="false">INDEX(Реестр!$A$11:$AI$19,6,MATCH(Сортировка!$D$5,Реестр!$A$10:$AI$10,0))</f>
        <v>195014000</v>
      </c>
      <c r="B6" s="58" t="n">
        <f aca="false">IF(ISNUMBER(A6),IF(Сортировка!$D$6="По убыванию",-A6,A6),1E+300)</f>
        <v>195014000</v>
      </c>
      <c r="C6" s="0" t="n">
        <f aca="false">COUNTIF($B$1:$B$9,"&lt;"&amp;B6)+COUNTIF($B$1:B6,B6)</f>
        <v>6</v>
      </c>
      <c r="D6" s="0" t="s">
        <v>44</v>
      </c>
    </row>
    <row r="7" customFormat="false" ht="15" hidden="false" customHeight="false" outlineLevel="0" collapsed="false">
      <c r="A7" s="58" t="n">
        <f aca="false">INDEX(Реестр!$A$11:$AI$19,7,MATCH(Сортировка!$D$5,Реестр!$A$10:$AI$10,0))</f>
        <v>239527000</v>
      </c>
      <c r="B7" s="58" t="n">
        <f aca="false">IF(ISNUMBER(A7),IF(Сортировка!$D$6="По убыванию",-A7,A7),1E+300)</f>
        <v>239527000</v>
      </c>
      <c r="C7" s="0" t="n">
        <f aca="false">COUNTIF($B$1:$B$9,"&lt;"&amp;B7)+COUNTIF($B$1:B7,B7)</f>
        <v>7</v>
      </c>
      <c r="D7" s="0" t="s">
        <v>47</v>
      </c>
    </row>
    <row r="8" customFormat="false" ht="15" hidden="false" customHeight="false" outlineLevel="0" collapsed="false">
      <c r="A8" s="58" t="n">
        <f aca="false">INDEX(Реестр!$A$11:$AI$19,8,MATCH(Сортировка!$D$5,Реестр!$A$10:$AI$10,0))</f>
        <v>263000000</v>
      </c>
      <c r="B8" s="58" t="n">
        <f aca="false">IF(ISNUMBER(A8),IF(Сортировка!$D$6="По убыванию",-A8,A8),1E+300)</f>
        <v>263000000</v>
      </c>
      <c r="C8" s="0" t="n">
        <f aca="false">COUNTIF($B$1:$B$9,"&lt;"&amp;B8)+COUNTIF($B$1:B8,B8)</f>
        <v>8</v>
      </c>
      <c r="D8" s="0" t="s">
        <v>45</v>
      </c>
    </row>
    <row r="9" customFormat="false" ht="15" hidden="false" customHeight="false" outlineLevel="0" collapsed="false">
      <c r="A9" s="58" t="n">
        <f aca="false">INDEX(Реестр!$A$11:$AI$19,9,MATCH(Сортировка!$D$5,Реестр!$A$10:$AI$10,0))</f>
        <v>289558721</v>
      </c>
      <c r="B9" s="58" t="n">
        <f aca="false">IF(ISNUMBER(A9),IF(Сортировка!$D$6="По убыванию",-A9,A9),1E+300)</f>
        <v>289558721</v>
      </c>
      <c r="C9" s="0" t="n">
        <f aca="false">COUNTIF($B$1:$B$9,"&lt;"&amp;B9)+COUNTIF($B$1:B9,B9)</f>
        <v>9</v>
      </c>
      <c r="D9" s="0" t="s">
        <v>26</v>
      </c>
    </row>
    <row r="10" customFormat="false" ht="15" hidden="false" customHeight="false" outlineLevel="0" collapsed="false">
      <c r="D10" s="0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2026-10-20T13:40:27Z</dcterms:created>
  <dc:creator>openpyxl</dc:creator>
  <dc:description/>
  <dc:language>en-US</dc:language>
  <cp:lastModifiedBy/>
  <dcterms:modified xsi:type="dcterms:W3CDTF">2026-10-20T13:40:27Z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