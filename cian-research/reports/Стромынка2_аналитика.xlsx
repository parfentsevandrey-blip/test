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Оценка" sheetId="1" state="visible" r:id="rId3"/>
    <sheet name="Аналоги-здания" sheetId="2" state="visible" r:id="rId4"/>
    <sheet name="Здания рядом (3,6 км)" sheetId="3" state="visible" r:id="rId5"/>
    <sheet name="ГАБ доходность" sheetId="4" state="visible" r:id="rId6"/>
    <sheet name="Земля (ЗУ) Москва" sheetId="5" state="visible" r:id="rId7"/>
    <sheet name="Аренда рядом (2 км)" sheetId="6" state="visible" r:id="rId8"/>
    <sheet name="МФЦ — варианты аренды" sheetId="7" state="visible" r:id="rId9"/>
  </sheets>
  <definedNames>
    <definedName function="false" hidden="true" localSheetId="1" name="_xlnm._FilterDatabase" vbProcedure="false">'Аналоги-здания'!$A$1:$O$16</definedName>
    <definedName function="false" hidden="true" localSheetId="5" name="_xlnm._FilterDatabase" vbProcedure="false">'Аренда рядом (2 км)'!$A$1:$H$191</definedName>
    <definedName function="false" hidden="true" localSheetId="3" name="_xlnm._FilterDatabase" vbProcedure="false">'ГАБ доходность'!$A$1:$H$93</definedName>
    <definedName function="false" hidden="true" localSheetId="2" name="_xlnm._FilterDatabase" vbProcedure="false">'Здания рядом (3,6 км)'!$A$1:$O$116</definedName>
    <definedName function="false" hidden="true" localSheetId="4" name="_xlnm._FilterDatabase" vbProcedure="false">'Земля (ЗУ) Москва'!$A$1:$K$119</definedName>
    <definedName function="false" hidden="true" localSheetId="6" name="_xlnm._FilterDatabase" vbProcedure="false">'МФЦ — варианты аренды'!$A$1:$E$9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Из карточки и описания объявления</t>
        </r>
      </text>
    </comment>
    <comment ref="L1" authorId="0">
      <text>
        <r>
          <rPr>
            <sz val="10"/>
            <rFont val="Arial"/>
            <family val="2"/>
          </rPr>
          <t xml:space="preserve">Заявленная продавцом или рассчитанная из дохода в объявлении</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Из карточки и описания объявления</t>
        </r>
      </text>
    </comment>
    <comment ref="L1" authorId="0">
      <text>
        <r>
          <rPr>
            <sz val="10"/>
            <rFont val="Arial"/>
            <family val="2"/>
          </rPr>
          <t xml:space="preserve">Заявленная продавцом или рассчитанная из дохода в объявлении</t>
        </r>
      </text>
    </comment>
  </commentList>
</comments>
</file>

<file path=xl/sharedStrings.xml><?xml version="1.0" encoding="utf-8"?>
<sst xmlns="http://schemas.openxmlformats.org/spreadsheetml/2006/main" count="2232" uniqueCount="765">
  <si>
    <t xml:space="preserve">Стромынка, 2 — рыночная стоимость (здание 1 184,5 м² + право аренды земли)</t>
  </si>
  <si>
    <t xml:space="preserve">ИСХОДНЫЕ ДАННЫЕ</t>
  </si>
  <si>
    <t xml:space="preserve">Синий шрифт — вводимые значения, их можно менять</t>
  </si>
  <si>
    <t xml:space="preserve">Площадь здания, м²</t>
  </si>
  <si>
    <t xml:space="preserve">ЕГРН, выписка от 05.10.2026</t>
  </si>
  <si>
    <t xml:space="preserve">Арендная плата МФЦ, ₽/год с НДС</t>
  </si>
  <si>
    <t xml:space="preserve">Текущий договор и вариант №1 МФЦ от 01.09.2026 (3 года, без индексации)</t>
  </si>
  <si>
    <t xml:space="preserve">Эксплуатационные расходы собственника, ₽/год</t>
  </si>
  <si>
    <t xml:space="preserve">Оценка по КП №2: 190 тыс. ₽/мес; по договору они входят в арендную плату</t>
  </si>
  <si>
    <t xml:space="preserve">Доходность — нижняя граница</t>
  </si>
  <si>
    <t xml:space="preserve">Рынок: медиана 10,3%, половина лотов 8,8–11,0% (ГАБ от 300 м² до 3,5 км, ЦИАН)</t>
  </si>
  <si>
    <t xml:space="preserve">Доходность — базовая</t>
  </si>
  <si>
    <t xml:space="preserve">Госарендатор надёжнее рынка, но договор короткий и без индексации</t>
  </si>
  <si>
    <t xml:space="preserve">Доходность — верхняя граница</t>
  </si>
  <si>
    <t xml:space="preserve">Медиана цены аналогов-зданий, ₽/м²</t>
  </si>
  <si>
    <t xml:space="preserve">12 отдельно стоящих зданий 400–2 100 м² до 2 км (лист «Аналоги-здания»)</t>
  </si>
  <si>
    <t xml:space="preserve">Поправка: Торг: цена сделки ниже цены объявления</t>
  </si>
  <si>
    <t xml:space="preserve">Поправка: Метро в 2–3 минутах против 7–8 минут у аналогов</t>
  </si>
  <si>
    <t xml:space="preserve">Поправка: Подвал — 30% площади (357,7 м²)</t>
  </si>
  <si>
    <t xml:space="preserve">Поправка: 1964 г., каркасно-панельное здание против кирпичных особняков после реконструкции</t>
  </si>
  <si>
    <t xml:space="preserve">Поправка: Здание сдано госарендатору целиком</t>
  </si>
  <si>
    <t xml:space="preserve">Предложение покупателя, млн ₽</t>
  </si>
  <si>
    <t xml:space="preserve">Вес доходного подхода</t>
  </si>
  <si>
    <t xml:space="preserve">Для здания с арендатором основной подход — доходный</t>
  </si>
  <si>
    <t xml:space="preserve">РАСЧЁТ</t>
  </si>
  <si>
    <t xml:space="preserve">Чистый доход для расчёта, ₽/год</t>
  </si>
  <si>
    <t xml:space="preserve">Стоимость доходным подходом — базовая, млн ₽</t>
  </si>
  <si>
    <t xml:space="preserve">Стоимость доходным подходом — при доходности 9%, млн ₽</t>
  </si>
  <si>
    <t xml:space="preserve">Стоимость доходным подходом — при доходности 10,5%, млн ₽</t>
  </si>
  <si>
    <t xml:space="preserve">Совокупная поправка сравнительного подхода</t>
  </si>
  <si>
    <t xml:space="preserve">Цена м² с поправками, ₽</t>
  </si>
  <si>
    <t xml:space="preserve">Стоимость сравнительным подходом, млн ₽</t>
  </si>
  <si>
    <t xml:space="preserve">ИТОГ: рыночная стоимость, млн ₽</t>
  </si>
  <si>
    <t xml:space="preserve">Предложение выше рыночной стоимости на</t>
  </si>
  <si>
    <t xml:space="preserve">Доходность покупателя при 550 млн и текущей аренде</t>
  </si>
  <si>
    <t xml:space="preserve">Аренда, нужная для 550 млн при доходности 10%, ₽/год с НДС</t>
  </si>
  <si>
    <t xml:space="preserve">То же, ₽/м² в месяц с НДС</t>
  </si>
  <si>
    <t xml:space="preserve">ЧУВСТВИТЕЛЬНОСТЬ: стоимость, млн ₽ (строки — аренда, столбцы — доходность)</t>
  </si>
  <si>
    <t xml:space="preserve">Аренда, ₽/год</t>
  </si>
  <si>
    <t xml:space="preserve">КП №1 от 02.03.2026: 50,6 млн ₽/год</t>
  </si>
  <si>
    <t xml:space="preserve">КП №2 от 22.04.2026: 43,2 млн ₽/год</t>
  </si>
  <si>
    <t xml:space="preserve">КП по форме МФЦ от 15.05.2026: 45,5 млн ₽/год</t>
  </si>
  <si>
    <t xml:space="preserve">После встречи 06.07.2026: 43,2 млн ₽/год</t>
  </si>
  <si>
    <t xml:space="preserve">После встречи 05.08.2026: 41,5 млн ₽/год</t>
  </si>
  <si>
    <t xml:space="preserve">Вариант №1 МФЦ от 01.09.2026: 39,0 млн ₽/год</t>
  </si>
  <si>
    <t xml:space="preserve">Вариант №2 МФЦ от 01.09.2026: 39,7 млн ₽/год</t>
  </si>
  <si>
    <t xml:space="preserve">ID ЦИАН</t>
  </si>
  <si>
    <t xml:space="preserve">Адрес</t>
  </si>
  <si>
    <t xml:space="preserve">Район</t>
  </si>
  <si>
    <t xml:space="preserve">От объекта, км</t>
  </si>
  <si>
    <t xml:space="preserve">Метро пешком, мин</t>
  </si>
  <si>
    <t xml:space="preserve">Станция</t>
  </si>
  <si>
    <t xml:space="preserve">Площадь, м²</t>
  </si>
  <si>
    <t xml:space="preserve">Цена, млн ₽</t>
  </si>
  <si>
    <t xml:space="preserve">₽ за м²</t>
  </si>
  <si>
    <t xml:space="preserve">НДС</t>
  </si>
  <si>
    <t xml:space="preserve">Земля</t>
  </si>
  <si>
    <t xml:space="preserve">Доходность, %</t>
  </si>
  <si>
    <t xml:space="preserve">Состояние</t>
  </si>
  <si>
    <t xml:space="preserve">Заголовок</t>
  </si>
  <si>
    <t xml:space="preserve">Описание</t>
  </si>
  <si>
    <t xml:space="preserve">Рубцовско-Дворцовая, 4</t>
  </si>
  <si>
    <t xml:space="preserve">Сокольники</t>
  </si>
  <si>
    <t xml:space="preserve">included</t>
  </si>
  <si>
    <t xml:space="preserve">не указано</t>
  </si>
  <si>
    <t xml:space="preserve">Требуется капитальный ремонт</t>
  </si>
  <si>
    <t xml:space="preserve">Предлагается к продаже здание с высокими потолками на территории жилого комплекса премиум-класса "Ренессанс". Наша компания ОАО "494 УНР" является застройщиком ЖК "Ренессанс" и первичным собственником данного объекта. что отражено в документах и гарантирует 100% безопасность сделки купли-продажи! Предусмотрено наличие лифтовой шахты на все 3 этажа. Есть подземная и наземная парковки. Идеально подход под организацию мед. центра, офисного центра и т.д. Подробное описание: 1й - 198,30 кв.м, Н = 3,3 м 2й - 427,00 кв.м, Н = 4 м 3й - 429,60 кв.м, Н = 3,8 м Кровля - 29,50 кв.м Итого: 1 084,40 кв.м Жи</t>
  </si>
  <si>
    <t xml:space="preserve">Маленковская, 32С6</t>
  </si>
  <si>
    <t xml:space="preserve">notIncluded</t>
  </si>
  <si>
    <t xml:space="preserve">аренда</t>
  </si>
  <si>
    <t xml:space="preserve">Дизайнерский ремонт</t>
  </si>
  <si>
    <t xml:space="preserve">709445 Помещение в трех минутах от ст. метро Сокольники, 700 метров от ТТК, на территории бизнес комплекса, в отдельно стоящем здании 1967 года постройки. Площадь 422,1 кв. м: первый этаж 242,5 кв. м просторные кабинеты, большой конференц-зал, мансардный этаж - 179,6 кв. м открытое пространство. Смешанная планировка, дизайнерский ремонт. Высота потолков - 4 м, эл. мощность - 117 кВт. Земельный участок в аренде, два подъезда к зданию через шлагбаум, четыре парковочных места.</t>
  </si>
  <si>
    <t xml:space="preserve">Большая Почтовая, 40</t>
  </si>
  <si>
    <t xml:space="preserve">Басманный</t>
  </si>
  <si>
    <t xml:space="preserve">Электрозаводская</t>
  </si>
  <si>
    <t xml:space="preserve">Типовой ремонт</t>
  </si>
  <si>
    <t xml:space="preserve">123942 Предлагаем два административных здания площадью 1 580 кв. м, расположенные на Большой Почтовой улице. Преимущества объекта: - Здание класса В - Шаговая доступность от станции метро Электрозаводская (8 минут пешком) - Этажность: 3 - Здания предлагаются с отделкой - Планировка кабинетная - В настоящее время все помещения заняты арендаторами - Земельные участки под зданиями в долгосрочной аренде Оперативно организуем для Вас показ и ответим на все вопросы. Свяжитесь с нами для получения дополнительной информации!</t>
  </si>
  <si>
    <t xml:space="preserve">Бакунинская, 70</t>
  </si>
  <si>
    <t xml:space="preserve">Бауманская</t>
  </si>
  <si>
    <t xml:space="preserve">019700 Инвестиционное предложение: Продажа особняка в ЦАО. Продажа 100% долей в ООО, владеющем представительским зданием. Расположение: Престижный Басманный район (ЦАО). Всего 900 метров до станций метро "Бауманская" и "Электрозаводская", быстрый выезд на Третье Транспортное Кольцо (ТТК). Юридический статус: Здание не является памятником архитектуры (что упрощает любые работы и реконструкцию). Площадь: 964 кв. м по документам (+106 кв. м по факту "за итогом"). Архитектура: 3 этажа, высокие потолки (более 4 метров). Доступность: 5 входов с двух сторон здания (включая 2 отдельных входа прямо на </t>
  </si>
  <si>
    <t xml:space="preserve">Ольховская, 45С3</t>
  </si>
  <si>
    <t xml:space="preserve">Красносельский</t>
  </si>
  <si>
    <t xml:space="preserve">Красносельская</t>
  </si>
  <si>
    <t xml:space="preserve">Лот: 117835. Екатерина. ЭКСКЛЮЗИВ! Предлагается в продажу отдельно cтоящee 4-х этажное здание в ЦАО! Общая площадь здания - 1 577 кв.м., исторический loft! Здание не является ОКН. В 2022 году был завершен капитальный ремонт с заменой всех инженерных систем и коммуникаций, обновлен ремонт внутри здания. Организовано 3 независимые входных группы, возможно разделить входы по этажам. Смешанная планировка этажей: каждый этаж имеет оpen-space, несколько кабинетов, переговорную комнату, мини-кухни и санузлы. Есть приватная зона руководства! Высота потолков 3-4 метра. Выделенная мощность - 220 кВт. Пр</t>
  </si>
  <si>
    <t xml:space="preserve">Верхняя Красносельская, 20С1</t>
  </si>
  <si>
    <t xml:space="preserve">ОТДЕЛЬНО СТОЯЩЕЕ ЗДАНИЕ 867,9 м² У МЕТРО КРАСНОСЕЛЬСКАЯ Москва, Верхняя Красносельская ул., 20, стр. 1 Отдельное кирпичное здание XIX века в пешей доступности от метро Красносельская. Закрытая дворовая территория, парковка, контролируемый въезд. Объект использовался как стоматологическая клиника и уже оснащён медицинской инженерией, которая обычно требует значительных вложений и времени при запуске: рентген-зона, ЦСО, центральная вакуумная аспирация, компрессорная, мокрые точки, электрическая мощность 90,4 кВт. Здание свободно, без арендаторов. Подходит для собственной клиники, медицинского це</t>
  </si>
  <si>
    <t xml:space="preserve">Лобачика, 2С1</t>
  </si>
  <si>
    <t xml:space="preserve">На торгах реализуются два помещения в административном здании по адресу: г. Москва, ул. Лобачика, д. 2, стр. 1 (район Красносельский). Данные помещения являются частью трёхэтажного здания с чердаком общей площадью 1281,9 кв.м (чердак площадью 195,1 кв.м. в собственность не оформлен). Лот 1 - Нежилое помещение, площадь 448,2 кв.м. Кадастровый номер: 77:01:0003035:2436, Помещение 1/3. Начальная цена: 72 960 300 ₽ Задаток: 5% (3 648 015 ₽) Шаг аукциона: 5% (идентификационный номер: 239294-МЭТС-1 Лот 2 -Недвижимое имущество в составе: - Нежилое помещение, площадь 638,6 кв.м. Кадастровый номер: 77:</t>
  </si>
  <si>
    <t xml:space="preserve">Электрозаводская, 35С4</t>
  </si>
  <si>
    <t xml:space="preserve">Преображенское</t>
  </si>
  <si>
    <t xml:space="preserve">Преображенская площадь</t>
  </si>
  <si>
    <t xml:space="preserve">Под чистовую отделку</t>
  </si>
  <si>
    <t xml:space="preserve">Эксклюзивный лот - продаётся уникальная историческая резиденция общей площадью 903 м² - два этажа, мансарда и цокольный этажи. Здание построено в начале XIX века (не памятник архитектуры). Полная реконструкция завершена в 2022 году — сохранены исторические элементы (кирпичная кладка, своды цокольного этажа), фасад отделан светлым песчаником. Shellcoreготовность — выполнены основные конструктивные и инженерные работы, требуется финишный дизайн интерьеров по проекту. Имеется оборудованная шахта для лифта — возможность установки пассажирского лифта без значительных доработок, новое инженерное обо</t>
  </si>
  <si>
    <t xml:space="preserve">Преображенская, 4</t>
  </si>
  <si>
    <t xml:space="preserve">Продаётся нежилое здание по адресу: ул. Преображенская, д. 4. Общая площадь — 1 500 м². Здание оформлено на юридическое лицо и расположено на земельном участке площадью 0,36 га, находящемся в аренде. Объект полностью подключён к инженерным коммуникациям: теплоснабжение, электроснабжение, водоснабжение, канализация. По поэтажным планам планировка свободная, что позволяет адаптировать помещения под любые задачи. В настоящее время в здании ведутся работы по ремонту кровли и фасада, а на территории участка будет обустроена парковка на 25 машиномест. Завершение всех работ запланировано 1 ноября 202</t>
  </si>
  <si>
    <t xml:space="preserve">Малая Семеновская, 6</t>
  </si>
  <si>
    <t xml:space="preserve">Соколиная гора</t>
  </si>
  <si>
    <t xml:space="preserve">210166 Исторический район на востоке Москвы — Соколиная гора. Москва, ул. Малая Семёновская, 6; 6, стр. 1. • Общая площадь здания составляет 1305 м² (1-й этаж — 454,8 м²; цокольный этаж — 450 м² и мансарда с окнами — 400 м²) + размещение летней веранды площадью 150-200 м² на своей огороженной территории. • Высота потолков: 1-й этаж — 3,1 м; цокольный этаж — 2,9 м; мансарда — 3,4 м. Здание после полного капитального ремонта. • 4 входные группы. • Большие витринные окна. • Огороженная территория со шлагбаумом, на 10 парковочных мест. Электроснабжение (120 кВт). Экосистема Kalinka недвижимость дл</t>
  </si>
  <si>
    <t xml:space="preserve">Краснопрудная, 30-34С3</t>
  </si>
  <si>
    <t xml:space="preserve">МЫ РАБОТАЕМ С АГЕНТАМИ И ПЛАТИМ ИМ ВОЗНАГРАЖДЕНИЕ Продажа здания целиком — 477 м2, г Москва, ул Краснопрудная, д 30-34 стр 3. О ЗДАНИИ: — Планировка: смешанная. — Типовой ремонт. — Парковочных мест: 5. РАСПОЛОЖЕНИЕ И ОСНАЩЕНИЕ: Офисный особняк расположен в Красносельском районе ЦАО г. Транспортная доступность обеспечена близостью к Садовому Кольцу и ТТК. — Класс здания — B. — Москвы. — Полная реконструкция была произведена в 2015 году. — Презентабельный фасад. — Лифты: Нет. — Вентиляция: Естественная. — Кондиционирование: Сплит-системы. — Безопасность: Круглосуточный доступ, Круглосуточная охр</t>
  </si>
  <si>
    <t xml:space="preserve">Большая Почтовая, 36С1</t>
  </si>
  <si>
    <t xml:space="preserve">Трёхэтажный особняк с цоколем и мансардой на Большой Почтовой улице в Басманном районе. Кирпичного цвета фасад выполнен в стиле классицизма, украшен белыми пилястрами и сандриками. Презентабельная входная группа расположена со стороны улицы. Внутри смешанная планировка, включающая в себя просторный холл, кабинеты различной площади и зону для руководства. Выполнен качественный ремонт, высота потолков до 4 метров. Электрическая мощность составляет 300 кВт. Для удобства передвижения установлен лифт. За безопасность отвечают круглосуточная охрана с системой видеонаблюдения, противопожарная и охран</t>
  </si>
  <si>
    <t xml:space="preserve">Сокольническая, 9А</t>
  </si>
  <si>
    <t xml:space="preserve">ТОРГОВЫЙ ЦЕНТР У МЕТРО С ИСТОРИЧЕСКИМ СКВЕРОМ! ПЛАТИМ БОНУС. ПОМЕЩЕНИЕ С АРЕНДАТОРОМ. Продажа здания целиком — 6 647,6 м2, г Москва, Сокольническая пл, д 9А. АРЕНДНЫЙ БИЗНЕС: — Перспективный торговый центр с высоким пешеходным трафиком в центре исторического района с надёжными и якорными арендаторами и выгодными договорами аренды. — Доходность 9%, окупаемость до 10.83 лет. Торговый центр с 10 входными группами на Сокольнической площади у выхода из исторически самой первой станции московского метро - Сокольники, недавно ставшей пересадочным узлом с большой кольцевой линией. О ЗДАНИИ: Витринное </t>
  </si>
  <si>
    <t xml:space="preserve">Большая Семеновская, 17А</t>
  </si>
  <si>
    <t xml:space="preserve">ТЦ ПОЛНОСТЬЮ ЗАПОЛНЕН АРЕНДАТОРАМИ! ПЛАТИМ БОНУС. ПОМЕЩЕНИЕ С АРЕНДАТОРОМ. Продажа здания целиком — 3 952,6 м2, г Москва, ул Большая Семёновская, д 17А. АРЕНДНЫЙ БИЗНЕС: — Доходность 10%, окупаемость до 10 лет. Торговый центр расположен в 90 м от метро Электрозаводская, и до платформы Электрозаводская - 150 м. О ЗДАНИИ: В ТЦ Фудкорт на 200 посадочных мест, 28 магазинов и 7 ресторанов. Договоры с ресурсоснабжающими организациями - прямые, коммуникации - центральные. Земельный участок 1 004 м2 в долгосрочной аренде до 2071 года. — Посещаемость - 10 000 человек в день. — Мощность электроснабжения</t>
  </si>
  <si>
    <t xml:space="preserve">Стромынка, 19Ак1</t>
  </si>
  <si>
    <t xml:space="preserve">Арт. 67704457 Торговое помещение площадью 657,2 на 1-ой линии ул. Стромынка с арендатором "Пятёрочка". Помещение встроенно-пристроенное к жилому дому: 1-й этаж (Пятерочка) 459,8 кв.м., подвал (Wildberries, Озон, Яндекс) 197,2 кв.м. Витринное остекление и открытая планировка. Высота потолков 3,3 метра. Электричество 100 кВт. Зона погрузки/разгрузки. Арендатор Пятёрочка - ДДА до 2033 года. Привязка к РТО 6%. Индексация по соглашению сторон 5%. МАП = 1 250 000 руб. Совокупный МАП = 1 370 000 рублей. Совоуцпный ГАП = 16 440 000 рублей Оживленная улица с интенсивным пешеходным и автомобильным трафи</t>
  </si>
  <si>
    <t xml:space="preserve">Матросская Тишина, 12</t>
  </si>
  <si>
    <t xml:space="preserve">Предлагается к продаже здание под фитнес-центр с бассейном с ЖК "Ренессанс премиум-класса. Наша компания ОАО "494 УНР" является застройщиком ЖК "Ренессанс" и первичным собственником данного объекта. что отражено в документах и гарантирует 100% безопасность сделки купли-продажи! Подробное описание: • местоположение: отдельно стоящее здание на территории ЖК Ренессанс премиум-класса, ул. Матросская Тишина, д. 12; • готово к эксплуатации; • этаж: --1, 1, 2, эксплуатируемая кровля, на которой можно принимать солнечные ванны и заниматься спортом; • вход/выход с территории ЖК Ренессанс и из подземног</t>
  </si>
  <si>
    <t xml:space="preserve">Шумкина, 26АС5</t>
  </si>
  <si>
    <t xml:space="preserve">Арт. 96738232. здание 264 м2 по документам. на деле до 300метров. -МАП -550 тыс в месяц с комуналкой (есть мед лицензия),Земля в ареннде на 49 лет . Под любые виды деятельности. Близость метро Сокольники, отличная транспортная доступность, хорошая площадка для погрузочно-разгрузочных работ, дает возможность прибыльно использовать данное помещение для любой деятельности, особенно курьерским компаниям, транспортным и логистическим. вроде как крт под застройку жилого комплекса. когда будет неизвестно. кадастровая стоимость 34 млн. указано что в крт но это здание не попадает в списках нет его.</t>
  </si>
  <si>
    <t xml:space="preserve">Шумкина, 26АС4</t>
  </si>
  <si>
    <t xml:space="preserve">Арт. 96733606. здание 264 м2 -МАП -550 тыс в мес с комуналкой (есть мед лицензия),Земля в ареннде на 49 лет на весь комплекс. Можно приобрести по отдельности. Под любые виды деятельности. Близость метро Сокольники, отличная транспортная доступность, хорошая площадка для погрузочно-разгрузочных работ, дает возможность прибыльно использовать данное помещение для любой деятельности, особенно курьерским компаниям, транспортным и логистическим. указано что в крт но это здание не попадает в списках нет его.</t>
  </si>
  <si>
    <t xml:space="preserve">Леснорядский, 18С7</t>
  </si>
  <si>
    <t xml:space="preserve">УНИКАЛЬНОЕ ПРЕДЛОЖЕНИЕ. ЦЕНА-КАЧЕСТВО. Продажа здания целиком — 3 031,6 м2, г Москва, Леснорядский пер, д 18 стр 7. О ЗДАНИИ: Установленная мощность электричества - 350 кВт, с возможностью увеличения до 1 МВт. Земельный участок - пятно застройки в долгосрочной аренде до 2051 года. — Всего 4 этажа, общей площадью - 3 031,6 м2. — 1 этаж - 1 001,1 м2, высота потолков- 6,25 м,. — 2 этаж - 996,9 м2, высота потолков - 6,25 м,. — 3 этаж - 923,5 м2, высота потолков - 4,6 м,. — 4 этаж - 110,1 м2, высота потолков - 3,2 м. — Есть грузовой лифт. — Все коммуникации подведены. — Возможен подъезд и разгрузка</t>
  </si>
  <si>
    <t xml:space="preserve">Матросская Тишина, 23С2</t>
  </si>
  <si>
    <t xml:space="preserve">Административное шестиэтажное здание площадью 5 102,9 кв.м.- в Восточном административном округе. Год постройки 1931, перекрытия железобетонные. Центральные коммуникации. Земельный участок площадью 4 880 кв.м. в долгосрочной аренде до 2062 года. ВРИ - участки смешанного размещения общественно-деловых и производственных объектов различного вида (1.2.7/1.2.9/1.2.17). Парковка на огороженной территории порядка 20 машиномест. Объект 3504-8412.</t>
  </si>
  <si>
    <t xml:space="preserve">Требуется косметический ремонт</t>
  </si>
  <si>
    <t xml:space="preserve">1112091 Продается отдельно стоящее административное здание площадью 5102,9 кв м, расположенное по адресу: Матросская Тишина дом 23 с2. Собственник ООО "Геодезия". В здании 5 этажей и подвал, высота потолков 3 метра. В настоящее время в аренде у Института геологии и картографии. Электричество 60 кВт. Все центральные коммуникации. Огороженная территория с наземной парковкой на 80 машин. Земельный участок 4880 кв. м в аренде у города до 2062 года.</t>
  </si>
  <si>
    <t xml:space="preserve">Гастелло, 41</t>
  </si>
  <si>
    <t xml:space="preserve">757625 Предлагаем торговое помещение с арендаторами Аптека, Цветы, Oзон, Офис, площадью 658 кв. м., расположенное в 11-этажном жилом доме. 1 этаж и антресоль. Без комиссии для покупателя. Преимущества объекта: -первая линия ул. Гастелло; -9 минут пешком от станции метро "Электрозаводская";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t>
  </si>
  <si>
    <t xml:space="preserve">Короленко, 3А</t>
  </si>
  <si>
    <t xml:space="preserve">40949 Предлагаем отдельно стоящее пятиэтажное офисное здание с арендатором, площадью 3 311 кв. м. Без комиссии для покупателя. Преимущества объекта: -пешая доступность от станции метро Сокольники (18 минут пешком); -объект отлично просматривается, находится в легком доступе для клиентов; -развитая инфраструктура района; -кабинетная планировка с качественным ремонтом; -охранно-пожарная сигнализация; -2 лифта и 10 мокрых точек; -система контроля доступа в здание; -на охраняемой территории организован паркинг на 30 машиномест; -ЗУ (2 212 кв. м.) в долгосрочной аренде. Технические параметры объект</t>
  </si>
  <si>
    <t xml:space="preserve">Короленко, 3АС4</t>
  </si>
  <si>
    <t xml:space="preserve">собственность</t>
  </si>
  <si>
    <t xml:space="preserve">808055 Предлагаем отдельно стоящее здание с надежным арендатором, площадью 483 кв. м., расположенное в районе Сокольники, ВАО. Преимущества объекта: - пешая доступность от станции метро "Сокольники" и "Преображенская площадь" (15 мин.); - центр крупного жилого массива; - развитая инфраструктура в окружении; - здание 1917 года постройки, в отличном состоянии, произведён капитальный ремонт и внутренняя отделка; - наличие центральных коммуникаций; - собственная парковка; - отлично подойдет под офис, производство. Технические параметры объекта: - 4 входные группы. - площадь по этажам: 1 этаж - 340</t>
  </si>
  <si>
    <t xml:space="preserve">Краснопрудная, 15</t>
  </si>
  <si>
    <t xml:space="preserve">851250 Предлагаем помещение свободного назначения с арендатором "Центр социального обслуживания" в ТЦ "Краснопрудный", площадью 664 кв. м., расположенное на третьем этаже 3-этажного здания. Без комиссии для покупателя. Преимущества объекта: -первая линия ул. Краснопрудная; -2 минуты пешком от станции метро "Красносельская";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-дизайнерский </t>
  </si>
  <si>
    <t xml:space="preserve">Фридриха Энгельса, 75С9</t>
  </si>
  <si>
    <t xml:space="preserve">Офисная отделка</t>
  </si>
  <si>
    <t xml:space="preserve">Предлагается на продажу нежилое, отдельно-стоящее здание, расположенное в Басманном районе (ЦАО) в шаговой доступности от станций метро Электрозаводская и Бауманская. Вторая линия домов. Поэтажные площади: 1 этаж - 213 м² Антресоль - 237 м² Чердак - 241 м² Земельный участок : 288 м² Вид права : собственность ВРИ : участки смешанного размещения производственных объектов различного вида (1.2.9) - Год постройки : 1968 - Год реконструкции : - Наружные стены : кирпичные - Перекрытия : - Наземная парковка : 5 м/м Не является памятником архитектуры. Подвал в здании отсутствует. Лифты в здании отсутст</t>
  </si>
  <si>
    <t xml:space="preserve">Спартаковская, 14С2</t>
  </si>
  <si>
    <t xml:space="preserve">Четырёхэтажный особняк с цоколем на Спартаковской площади в Басманном районе. Здание класса А, фасад выполнен из красного кирпича в классическом английском стиле. Особняк является частью офисного комплекса с огороженной территорией и собственной инфраструктурой. Внутри смешанная планировка, включающая открытые офисные зоны и отдельные кабинеты руководителей. На каждом этаже расположены переговорные комнаты, серверные помещения и санузлы. Качественная отделка, высота потолков 3,1-3,3 метра. Для удобства перемещения установлен лифт. На террасе площадью 365 м² можно организовать зону отдыха. В по</t>
  </si>
  <si>
    <t xml:space="preserve">764679 Предлагаем к приобретению торговый центр "Март", площадью 3 952 кв. м. 1, 2, 3 этаж + подвал. Без комиссии для покупателя. Преимущества объекта: -первая линия Большой Семеновской улицы; -100 метров от вестибюля ст. метро "Электрозаводская"; -сверхинтенсивный пешеходный и автомобильный трафик; -сложившееся торговое окружение; -посещаемость торгового центра: ~10 500 человек в сутки; -зальная планировка; -витринное остекление; -возможность размещения вывески; -два грузопассажирских лифта Schindler и 6 эскалаторов Schindler; -приточно-вытяжная вентиляция и кондиционирование здания; -автомат</t>
  </si>
  <si>
    <t xml:space="preserve">2-я Рыбинская, 13С6</t>
  </si>
  <si>
    <t xml:space="preserve">Арт. 140721513 Предлагается к продаже отдельно стоящее трёхэтажное здание с цокольным этажом общей площадью 450 кв. м. Помещения свободного назначения оборудованы под офис и могут использоваться для размещения рабочих кабинетов, переговорных, студии, шоурума, архива или других коммерческих задач. Здание обеспечено всеми необходимыми удобствами и коммуникациями, установлена приточно-вытяжная система вентиляции. В сентябре планируется подготовка помещений к формату white box, что позволит будущему собственнику выполнить финальную отделку с учётом собственного проекта и требований бизнеса. Почему</t>
  </si>
  <si>
    <t xml:space="preserve">Бакунинская, 24</t>
  </si>
  <si>
    <t xml:space="preserve">Лот: 55219. Предлагается 2-х этажный особняк 430,4 м2 расположенный на собственной огороженной территории в Басманном районе г. Москвы. В 5-ти минутах пешком от метро Бауманская. Готовность отделки: октябрь 2026 Объект культурного наследия. Пaлaты Щepбаковa - уникальный историчеcкий объeкт 1773-го года пocтрoйки, выполненный Пeтpoм Фeдoровичем Бoртникoвым пo зaказу купца первой гильдии Данилы Никитичa Щербакoва. Пaлaты прoславил нoчлeг импepaтoра Павлa I, подарившегo купцу Даниле Щepбакову, свoй поpтрeт, ocыпaнный бриллиантами. В cepeдине 20-го века в Палатах была известная пивная, собиравшая </t>
  </si>
  <si>
    <t xml:space="preserve">Бакунинская, 7С5</t>
  </si>
  <si>
    <t xml:space="preserve">ПРEДЛОЖЕHИЕ ОT СОБСТBЕHНИКA! Продается здание общей площадью 540 кв.м. Пepвaя линия. C реcтopаном внутри. Вce оборудованиe и мебeль ocтаются. 3 этажа. Подойдет под любой вид торговли и услуг. Центральные коммуникации, кондиционирование. Согласована летняя веранда. Характеристики объекта: Общая площадь - 540 м2 Земельный участок - аренда Теплоснабжение - центральное Электроэнергия - 100 ква Водоснабжение - центральное Метро Бауманская В помещении находится арендатор. Возможность работать круглосуточно. Подойдет также под общепит, шоурум, магазин, салон или любой другой вид торговой деятельности</t>
  </si>
  <si>
    <t xml:space="preserve">Фридриха Энгельса, 27</t>
  </si>
  <si>
    <t xml:space="preserve">Особняк в ЦАО. 5 минут пешком от метро Бауманская. Первая линия домов, высокие потолки.-3. м Большие окна, перекрытия дерево ..Центральные коммуникации. Свой внутренний двор на 5 машин.два входа . 220 кВт. . кирпичные стены . Год строительства до 1917. кабинетная планировка. Участок в собственности , ВРИ под эксплуатацию административного здания, склад. Объект 3504-8422.</t>
  </si>
  <si>
    <t xml:space="preserve">Особняк в ЦАО. 5 минут пешком от метро Бауманская. Первая линия домов, высокие потолки.-3. м состоит из двух частей Первая часть Здание 315 м, Вторая здание площадью 580м2 Большие окна, Первая линия домов .Центральные коммуникации. Свой внутренний двор на 5 машин.два входа . 220 кВт. . кирпичные стены . Год строительства до 1917. кабинетная планировка. Участок в собственности , ВРИ под эксплуатацию административного здания, склад. на втором этаже потолки 3.5 метров. В помещениях выполнен ремонт. Объект 3504-8423.</t>
  </si>
  <si>
    <t xml:space="preserve">Рубцовская, 3С1</t>
  </si>
  <si>
    <t xml:space="preserve">Арт. 92648236. Действующий автотехцентр 563,4 м² в ЦАО Москвы К продаже предлагается зарегистрированный объект коммерческой недвижимости на Рубцовской набережной в Басманном районе Москвы. Это редкое для центра Москвы предложение — действующая площадка автотехцентра, которая много лет используется по профильному назначению. Автосервис работает здесь с 2001 года. Основные характеристики: — площадь объекта — 563,4 м²; — два этажа; — 12 ремонтных постов; — рабочие, технические и вспомогательные помещения; — сформированная инфраструктура для ремонта и обслуживания автомобилей; — мойка; — удобное р</t>
  </si>
  <si>
    <t xml:space="preserve">Малая Семеновская, 11/2С3</t>
  </si>
  <si>
    <t xml:space="preserve">монолит реконструкция под Банк,с сейфовой и кассовой зоной ,возможно под МедЦентр или другие варианты возможно аренда с последующим выкупом</t>
  </si>
  <si>
    <t xml:space="preserve">Медовый, 3</t>
  </si>
  <si>
    <t xml:space="preserve">103812 К продаже предлагается особняк, расположенный на Медовом переулке, 3, в пешей доступности от ст. м. Электрозаводская. Общая площадь: 709 кв. м. Этажность: 1/4 (цоколь высокий, 1,2 этажи и мансарда). Смешанная планировка. Проведены все необходимые инженерные системы и коммуникации, видеонаблюдение, охрана. Паркинг наземный на огороженной территории. ЗУ в бессрочной аренде у города. Звоните. Будем рады ответить на возникшие вопросы. Участник ассоциации AREA</t>
  </si>
  <si>
    <t xml:space="preserve">Малая Почтовая, 10</t>
  </si>
  <si>
    <t xml:space="preserve">Продается здание. Подходит в использовании под автосервис (детейлинг). Площадь 1 445,4 м2. Высота потолка 2,63 м. Год постройки 2015. Мощность 95 Квт. Смонтирована система электрического отопления. Заключён договор на технологическое подсоединение к газораспределительной сети. Здание расположено на земельном участке площадью 1 478 м2 (кадастровый номер - 77:01:0003014:4274) .Договор аренды ЗУ до 27.09.2068г. Назначение земельного участка: земельные участки, предназначенные для размещения гаражей (1.2.3) Въезд оборудован шлагбаумом. Здание расположено в Центральном округе г. Москвы (м. Бауманск</t>
  </si>
  <si>
    <t xml:space="preserve">Краснопрудная, 3/5С1</t>
  </si>
  <si>
    <t xml:space="preserve">Комсомольская</t>
  </si>
  <si>
    <t xml:space="preserve">Код лота: 21000003370000000430 Реализуется на торгах. Предлагаем к приобретению имущественный комплекс в Красносельском районе Москвы (ул. Краснопрудная, д. 3Б (ЗУ 3/5/1): земельный участок площадью 621 +/- 9 кв.м. (кад. 77:01:0003036:4449 Виды разрешенного использования: 3.2.3 - Оказание услуг связи) и трёхэтажное нежилое здание 1940 года постройки (наименование: Здание Ярославского ПЖДП) площадью 1259,3 кв. м (кад. 77:01:0003036:1085). Оба объекта находятся в собственности, без зарегистрированных обременений. Высота потолков в здании - 3,5 м, смешанная планировка, отдельный вход с улицы. Инж</t>
  </si>
  <si>
    <t xml:space="preserve">Ладожская, 9</t>
  </si>
  <si>
    <t xml:space="preserve">Продается 1/2 доли в здании с дисконтом. 6 этажей, дополнительно полноценный -1 этаж. Великолепное место. Ладожская улица - это Бауманский Арбат. Пешеходная дорога с большим пешеходным трафиком. Здание после капитального ремонта 2020 году. Стиль советский конструктивизм. Не является культурным наследием формально. На первом этаже готовые помещения под ресторан, магазины. За зданием тихая парковая зона. Причина продажи: корпоративный (семейный) конфликт со вторым собственником.</t>
  </si>
  <si>
    <t xml:space="preserve">Посланников, 9С5</t>
  </si>
  <si>
    <t xml:space="preserve">ЗДАНИЕ И ЗЕМЕЛЬНЫЙ УЧАСТОК В СОБСТВЕННОСТИ! ПЛАТИМ БОНУС. Продажа здания целиком — 801 м2, г Москва, Посланников пер, д 9 стр 5. Здание расположено в ЦАО Москвы, в Басманном районе, в тихом дворе, в 5 минутах ходьбы от станции метро Бауманская. О ЗДАНИИ: На первом этаже расположены служба приема и размещения, лобби с комфортной мягкой мебелью и телевизором, а также к услугам гостей комната для хранения багажа. — Здание используется под размещение отеля. — Общее количество номеров 36. — Стойка регистрации работает круглосуточно. — Электрическая мощность 70 кВт. — Земельный участок 912 м2 в собс</t>
  </si>
  <si>
    <t xml:space="preserve">Волховский, 16/20С1</t>
  </si>
  <si>
    <t xml:space="preserve">Продается ОСЗ в формате ГАБ - инвестиционный актив с прогнозируемым арендным доходом. Исторический особняк Баум Холл 513 кв.м - 2 этажа. Площадь земельного участка 1,5 тыс кв.м в аренде до 2069 г. Баум Холл расположен в исторически сформировавшемся деловом районе Москвы, в непосредственной близости от Третьего транспортного кольца и нескольких станций метро. Район отличается высокой деловой активностью, плотной жилой застройкой и стабильным пешеходным и автомобильным трафиком. Среднечасовой пешеходный трафик 400 чел; Среднечасовой автомобильный трафик 100 а/м. Локация сочетает характеристики ц</t>
  </si>
  <si>
    <t xml:space="preserve">3-я Черкизовская, 14</t>
  </si>
  <si>
    <t xml:space="preserve">Продается нежилое, отдельно-стоящее ЗДАНИЕ, расположенное в ВАО Москвы, на первой линии домов улицы 3-я Черкизовская, в шаговой доступности от станции метро Преображенская (4 мин пешком - расстояние 300м ). Общая площадь 1126 м². 3 этажа + 1 подземный. -Год постройки: 1959 -Год реконструкции: 2011. -Наружные стены: кирпичные -Перекрытия: железобетонные -Наземный паркинг: 8 а/м -Окна: новые пластиковые. -Кондиционеры: большие наружные блоки установленные с торца дома в едином месте. Все сети центральные, от города. Договоры с поставщиками городских (коммунальных) услуг - прямые, абонентские. Го</t>
  </si>
  <si>
    <t xml:space="preserve">Лефортовский, 12/50С2</t>
  </si>
  <si>
    <t xml:space="preserve">Прямая продажа без комиссий! Здание располагается в Лефортовском пер., 12/50с2 в шаговой доступности от метро Бауманская, 5 минут пешком. Отличная пешеходная и транспортная доступность. Отдельные входные группы с фасада с 1-ой линии, несколько входов с торца и со двора. Высокий рекламный потенциал и места для размещения вывесок. Предусмотрена возможность организации террасы/веранды. Крупный жилой и деловой район. Рядом магазины, кофейни, образовательные учреждения, Библиотека Некрасова, театр Модерн. Подходящие виды деятельности: торговое помещение, офис, магазин, ресторан, аптека, салон красо</t>
  </si>
  <si>
    <t xml:space="preserve">Семеновский, 21</t>
  </si>
  <si>
    <t xml:space="preserve">Семёновская</t>
  </si>
  <si>
    <t xml:space="preserve">Продается здание общей площадью 1350 м2. В здании 5 этажей, отдельный вход с фасада здания. Ремонт, все городские инженерные коммуникации, лифт, мансарда. Техническое оснащение соответствует А классу. Первая линия домов, витринное остекление. Наземная парковка. В окружении большой жилой массив, офисы, ТЦ Семеновский, БЦ, супермаркеты, аптеки, банки, салоны красоты, медицинские учреждения и образовательные организации и тп. В 3х минутах пешего хода м. Семеновская. Многочисленные автобусные и троллейбусные маршруты. Удобная транспортная развязка обеспечивает легкий доступ к любой точке города.</t>
  </si>
  <si>
    <t xml:space="preserve">Преображенский Вал, 17С91</t>
  </si>
  <si>
    <t xml:space="preserve">111004 Предлагаем помещение свободного назначения с сетевыми арендаторами Кальянная Мята Lounge, Салон цветов, Пекарня, площадью 280 кв. м., расположенное в имущественном комплексе из двух смежных одноэтажных зданий на Преображенском рынке. 1 этаж. Без комиссии для покупателя. Преимущества объекта: -первая линия домов; -4 минуты пешком от станции метро Преображенская площадь; -объект отлично просматривается, находится в легком доступе для клиентов; -развитая инфраструктура района; -надежные и сетевые арендаторы; -зальная планировка (три больших зала); -витринное остекление со стороны территори</t>
  </si>
  <si>
    <t xml:space="preserve">Старая Басманная, 38/2С2</t>
  </si>
  <si>
    <t xml:space="preserve">Часть здания 1326 м2 в отдельно стоящем здании 4984 м2. Помещение занимает часть первого и второго этажей, мансарды и подвала. Инженерные коммуникации центральные, договоры с собственником второй части здания. Несколько входов. Есть парковка на внутренней территории. Год строительства - до 1917 года. Стены кирпичные. Год капитального ремонта 2020. Перекрытия железобетонные. Не памятник. Первая линия домов. Хороший ремонт. Лифт. В настоящий момент все помещения сданы в краткосрочную аренду нескольким арендаторам. Продажа ЮЛ. Объект 3504-7936.</t>
  </si>
  <si>
    <t xml:space="preserve">2-й Лучевой, 5ГС1</t>
  </si>
  <si>
    <t xml:space="preserve">Трехэтажное производственное здание 2121 м2. Высота потолков на первом этаже 4,5 метра, на втором и третьем этажах 3 метра. Перекрытия железобетонные. Стены кирпичные. Инженерные коммуникации центральные: газовое отопление, водоснабжение и канализирование, электрическая мощность 350 кВт (2-я категория), возможность увеличения до 1 МВт. 1960 года постройки. Земельный участок 0,46 га в долгосрочной аренде. ВРИ участка: эксплуатация производственного здания. Высота Огороженная территория, парковка на 45 автомобилей. Удалённость от метро Сокольники или Алексеевская не более 15 минут пешком, железн</t>
  </si>
  <si>
    <t xml:space="preserve">Старая Басманная, 38/2С1</t>
  </si>
  <si>
    <t xml:space="preserve">Помещения площадью 830 м2 расположенные на цокольном этаже ,1 этаже и левое крыло 2 и 3 этажа. , 1917 года постройки. Пересечение Старой Басманной, Новой Басманной, Спартаковской и Доброслободской улиц, метро Бауманская - 900 метров. В здании три этажа, эксплуатируемый цоколь, кабинетная планировка. Кирпичные стены, стандартный офисный ремонт. Коммуникации центральные, прямые договоры. Собственная огороженная парковка на 15 машиномест. Продажа юр лица. Объект 3504-4905.</t>
  </si>
  <si>
    <t xml:space="preserve">Предлагается к приобретению офисное здание в исторической части Москвы по адресу: Старая Басманная улица, дом 38/2, строение 1. Объект расположен в Басманном районе ЦАО, в окружении сложившейся деловой, жилой и городской инфраструктуры. Удобный доступ к Садовому кольцу и основным транспортным направлениям центра Москвы. На первом этаже и в подвале продавцу принадлежит весь сформированный периметр помещений. На втором и третьем этажах часть помещений ранее была реализована другим собственникам. Эти шесть помещений общей площадью около 170,5 м² в сделку не входят и расположены в отдельной части </t>
  </si>
  <si>
    <t xml:space="preserve">ЛУЧШАЯ ЦЕНА В ЛОКАЦИИ. ПЛАТИМ АГЕНТАМ. Продажа здания целиком — 1 365 м2, г Москва, ул Старая Басманная, д 38/2 стр 1. Здание находится в шаговой доступности от станций метро Красные ворота и Бауманская. О ЗДАНИИ: Всего 4 уровня. 1, 2 этажи, мансарда, цоколь с отдельным входом. — Офисы светлые, с большими окнами. — Холл - мрамор. — Планировка: кабинетная. — Типовой ремонт. — Высота потолков: 2.8 м. — Парковочных мест: 15. РАСПОЛОЖЕНИЕ И ОСНАЩЕНИЕ: Расстояние до Садового кольца и ТТК примерно одинаково - чуть менее 1,5 км. — Класс здания — B+. — Лифты: Нет. — Вентиляция: Естественная. — Кондици</t>
  </si>
  <si>
    <t xml:space="preserve">Семеновская, 2</t>
  </si>
  <si>
    <t xml:space="preserve">Продается отлельно стоящее здание рядом с метро Семеновская. ТЦ. Целевое назначение - общепит и торговля. Участок земли в арерде на 49 лет. Здание состоит из 3 этажей и подвала с окнами. Все уровни равны по площади. Вся площадь эксплуатируемая, включая крышу. В здании имеется лифт и две лестницы (основная- центральная и пожарная) 6 Входов. Потолки 3.5- 4 метра. Свободная планировка( несущие только колоны). 3/4 Площадей сданы в долгосрочную аренды под рестораны. Объект можно рассматривать, как готовый, арендный бизнес с окупаемостью менее 9 лет или, как ОСЗ для собственных нужд. Перед зданием б</t>
  </si>
  <si>
    <t xml:space="preserve">Семеновская, 7к15</t>
  </si>
  <si>
    <t xml:space="preserve">ЗДАНИЕ ЦЕЛИКОМ — МЕТРО СЕМЕНОВСКАЯ ПЕШКОМ Продажа здания целиком — 4 094,4 м2, г Москва, Семёновская пл, д 7 к 15. Офисно-производственное здание в шаговой доступности от станции метро Семеновская. О ЗДАНИИ: Инженерные коммуникации здания - водопровод, канализация, отопление центральное, горячее водоснабжение, электроснабжение. Здание располагается на земельном участке площадью 1 683 м2. Земельный участок находится в долгосрочной аренде до 2074 года. — В здании 4 этажа. — Допустимая нагрузка на перекрытия до 700 кг на м2. — Мощность - 420 кВт с возможностью увеличения. — Вид разрешённого испол</t>
  </si>
  <si>
    <t xml:space="preserve">Предлагается на продажу нежилое, отдельно-стоящее здание, расположенное в районе Соколиная гора (ВАО), в шаговой доступности от станций метро Семеновская и Электрозаводская. Вторая линия домов Вельяминовской улицы. 4 094 м² - общая площадь 4 094 м² - наземная площадь 3 950 м² - наземная без лестниц Поэтажные площади: 1 этаж : 1 029 м² (высота потолков 325) 2 этаж : 1 017 м² (высота потолков 325) 3 этаж : 1 025 м² (высота потолков 325) 4 этаж : 1 024 м² (высота потолков 325) Земельный участок : 1 683 м² Площадь застройки : 1 151 м² Вид права : аренда до 2074 года ВРИ : проведение научных исслед</t>
  </si>
  <si>
    <t xml:space="preserve">Старая Басманная, 32</t>
  </si>
  <si>
    <t xml:space="preserve">Предлагается на продажу особняк, расположенный в Басманном районе (ЦАО) на первой линии домов Старой Басманной улицы, в шаговой доступности от станций метро Бауманская, Комсомольская, Красные ворота и Красносельская. Поэтажные площади: 0 этаж : 97 м² (высота потолков 220) 1 этаж : 111 м² (высота потолков 300) 2 этаж : 96 м² (высота потолков 285) Земельный участок : 250 м² Площадь застройки : 139 м² Зарегистрированные права отсутствуют ВРИ : земли административно-управленческих учреждений и общественных организаций - Год постройки : 1807 - Год перестройки : 1879 - Наружные стены : смешанные - П</t>
  </si>
  <si>
    <t xml:space="preserve">Доброслободская, 9/2</t>
  </si>
  <si>
    <t xml:space="preserve">Уникальное предложение в Бауманском районе. Продается исторический особняк на Доброслободской улице 600,7 кв.м с готовым арендным бизнесом (ГАБ), 2 этажа + подвал. Площадь земельного участка 0,03 га в собственности. На объекте произведен полный капитальный ремонт несущих конструкций, перекрытий, конструкций кровли с заменой стропильной системы. Стены кирпичная кладка, архитектурное освещение. Парковочные места. Здание оборудовано современной системой приточно-вытяжной вентиляции и кондиционирования воздуха. Виды разрешенного использования: Бытовое обслуживание, Здравоохранение, Деловое управле</t>
  </si>
  <si>
    <t xml:space="preserve">Аптекарский, 2</t>
  </si>
  <si>
    <t xml:space="preserve">Двухэтажный особняк с подвалом на пересечении Доброслободской улицы и Аптекарского переулка в Басманном районе. Кирпичное здание 1927 года постройки после капитального ремонта. Внутри смешанная планировка и отделка в стиле лофт, высота потолков 3 метра. Все помещения сданы и приносят стабильный доход. На прилегающей территории предусмотрена наземная парковка на 5 машин. Особняк подходит под офис, бизнес-центр, штаб-квартиру, клинику. Здание расположено на первой линии домов в окружении городских усадеб, рядом с домами-музеями Василия Львовича Пушкина и художника Фёдора Степановича Рокотова. Уд</t>
  </si>
  <si>
    <t xml:space="preserve">Токмаков, 5С1</t>
  </si>
  <si>
    <t xml:space="preserve">ЗДАНИЕ С ПАРКОВКОЙ. ПЛАТИМ АГЕНТАМ. Продажа здания целиком — 3 951 м2, г Москва, Токмаков пер, д 5 стр 1. Ближайшие станции метро: Бауманская, Курская и Красные Ворота. О ЗДАНИИ: В 2022 году в здании выполнен современный премиальный ремонт. — Общая площадь здания - 3951,1 м2. — Всего 8 уровней: 6 этажей, мансарда, подвал. — Подвал 637,1 м2, потолок 3,1 м,. — 1 эт 319,7 м2, потолок 3,5 м,. — 2 эт 378,0 м2, потолок 2,95 м,. — 3 эт 393,9 м2, потолок 2,95 м,. — 4 эт 475,2 м2, потолок 2,95 м,. — 5 эт 472,8 м2, потолок 2,95 м,. — 6 эт 420,9 м2, потолок 2,95 м. — Мансарда 457,5 м2, потолок 2,95 м,. —</t>
  </si>
  <si>
    <t xml:space="preserve">Предлагается на продажу нежилое, отдельно-стоящее здание, расположенное в Басманном районе (ЦАО), в шаговой доступности от станций метро Бауманская и Комсомольская. Вторая линия домов. 3 951 м² - общая площадь 3 125 м² - наземная площадь 2 882 м² - наземная без лестниц 1 868 м² - площадь кабинетов Поэтажные площади: 0 этаж : 825 м² (высота потолков 310) 1 этаж : 471 м² (высота потолков 350) 2 этаж : 377 м² (высота потолков 295) 3 этаж : 399 м² (высота потолков 295) 4 этаж : 476 м² (высота потолков 295) 5 этаж : 472 м² (высота потолков 295) 6 этаж : 474 м² (высота потолков 295) 7 этаж : 457 м² </t>
  </si>
  <si>
    <t xml:space="preserve">156633 Административное здание в Басманном районе ЦАО Москвы, площадью 3 950,5 м² • 6 этажей + мансарда + подземный этаж • паркинг на 21 м/м • пешая доступность от метро. Готовый объект под офис, представительство, клинику, образовательный центр или для перепланировки. Качественный ремонт, все коммуникации, охраняемая территория. **Локация** Басманный район, ЦАО Москвы. Пешая доступность от станций метро "Бауманская", "Курская", "Красные Ворота". Огороженная территория обеспечивает безопасность и комфорт для сотрудников и посетителей. **Ключевые параметры** - Общая площадь: 3 950,5 кв. м - Аре</t>
  </si>
  <si>
    <t xml:space="preserve">Доброслободская, 8С4</t>
  </si>
  <si>
    <t xml:space="preserve">Прекрасный особняк общей площадью 1157 м2 Здание расположено в престижном районе Басманный города Москвы, в пешей доступности от станции метро "Бауманская". Не памятник культурного наследия, продается с мебелью. Планировка особняка включает зону ресепшн, 19 кабинетов, включая два кабинета Open space, 4 кабинета для руководителей, 2 переговорные комнаты, 7 общих санузлов, мини кухню и техническое помещение. Два балкона. Особняк оснащен всеми современными коммуникациями, на территории имеется наземный и подземный паркинг на 10 м/м. Есть лифт с -1 по 4 этажи. Видеонаблюдение круглосуточное по все</t>
  </si>
  <si>
    <t xml:space="preserve">Новая Басманная, 24/1С1</t>
  </si>
  <si>
    <t xml:space="preserve">Продается двух этажное здание , площадь 784 кв.м. в центре на первой линии. На данный момент в здании расположены офисы. Есть внутренний огороженный дворик , можно использовать как парковку. Земля в аренде 200 тысяч рублей в квартал. Успевайте , шикарное предложение , оперативный показ.</t>
  </si>
  <si>
    <t xml:space="preserve">Новая Басманная, 23С2</t>
  </si>
  <si>
    <t xml:space="preserve">Предлагается на продажу комплекс офисных зданий, расположенный в Красносельском районе (ЦАО) в шаговой доступности от станции метро Красные Ворота и Комсомольская. Вторая линия домов. Состав комплекса: Здание 1 (4 этажей) : 1063 м² Здание 2 (5 этажей) : 1463 м² Здание 3 (4 этажей) : 4804 м² Здание 4 (3 этажей) : 524 м² Земельный участок : 1824 м² Вид права : аренда до 2025 года ВРИ : использования территории для эксплуатации административного здания Земельный участок : 1596 м² Вид права : аренда до 2025 года ВРИ : размещения офисных зданий делового и коммерческого назначения (1.2.7) размещения</t>
  </si>
  <si>
    <t xml:space="preserve">Продажа здания целиком — 7 857,8 м2, г Москва, ул Новая Басманная, д 23 стр 2. Здание находится до ближайших равноудаленных станций метр Комсомольская и Красные ворота составляет 900 метров. О ЗДАНИИ: Офисный комплекс из четырех строений с земельными участками в собственности. — 1 строение - 1 063,5 м2. — 2 строение - 1 463,5 м2. — 3 строение - 4 803,7 м2. — 4 строение - 527,1 м2. — Мощность электроснабжения - 450 кВт. — Планировка: смешанная. — Типовой ремонт. — Терраса/балкон. — Высота потолков: 2.7 м. — Парковочных мест: 30. РАСПОЛОЖЕНИЕ И ОСНАЩЕНИЕ: Для автомобилистов расположение делового</t>
  </si>
  <si>
    <t xml:space="preserve">Каланчевская, 14С1</t>
  </si>
  <si>
    <t xml:space="preserve">Площадь трёх вокзалов</t>
  </si>
  <si>
    <t xml:space="preserve">ГОТОВЫЙ БИЗНЕС! ПОПУЛЯРНАЯ ЛОКАЦИЯ! ПЛАТИМ АГЕНТАМ! ПОМЕЩЕНИЕ С АРЕНДАТОРОМ. Продажа здания целиком — 304,9 м2, г Москва, ул Каланчевская, д 14 стр 1. АРЕНДНЫЙ БИЗНЕС: — Доходность 8%, окупаемость до 12.5 лет. О ЗДАНИИ: На нём можно вместить до 30 автомобилей или построить ещё одно здание. Электричество 110 кВт, есть возможность увеличения до 300 кВт. — Здание состоит из трёх этажей. — Не является объектом культурного наследия. — Реконструкция была проведена в 2019 году. — Парковочная площадка 600 м2 в собственности. — Планировка: смешанная. — Дизайнерский ремонт. — Лофт. — Высота потолков: 3.</t>
  </si>
  <si>
    <t xml:space="preserve">Денисовский, 24</t>
  </si>
  <si>
    <t xml:space="preserve">Лот: 55217. Предлагается особняк в Басманном районе. Хорошая транспортная доступность, до метро Бауманская - 860 м. Общая площадь 772 кв.м. Этажность: 2 Здание оснащено всеми современными инженерными системами и коммуникациями. Готовность отделки: октябрь 2026 Напольное покрытие - паркет из уникальной древесины ценных пород. Крыша здания двускатная с покрытием металлической кровлей, с организованным водоотводом. В здании 2 этажа и подвал: -первый этаж 304,9 кв.м.; -второй этаж 310,2 кв.м.; -подвал 37,6 кв.м.; -лестницы занимают 49,3 кв.м. Высота потолков 3 м. Планировка кабинетного типа. Виды </t>
  </si>
  <si>
    <t xml:space="preserve">Госпитальная, 14</t>
  </si>
  <si>
    <t xml:space="preserve">Лефортово</t>
  </si>
  <si>
    <t xml:space="preserve">Трехэтажный особняк с цокольным этажом и мансардой на Госпитальной улице на востоке Москвы. Здание соответствует бизнес-центру В класса. Внутри здание со смешанной планировкой, качественной офисной отделкой и всеми необходимыми условиями для поддержания безопасности и комфорта сотрудников. На прилегающей территории площадью 1200 м² предусмотрена наземная парковка на 15 машиномест. Особняк подходит для бизнес-центра, представительства или банка. Особняк находится рядом с парком Лефортово, Краснокурсантским сквером в Московским Государственным Объединенным Музей-заповедником. Удобный выезд на ТТ</t>
  </si>
  <si>
    <t xml:space="preserve">Большой Демидовский, 12</t>
  </si>
  <si>
    <t xml:space="preserve">БЦ КЛАССА А. ПЛАТИМ БОНУС. ПОМЕЩЕНИЕ С АРЕНДАТОРОМ. Продажа здания целиком — 6 205,5 м2, г Москва, Большой Демидовский пер, д 12. АРЕНДНЫЙ БИЗНЕС: — Доходность 8%, окупаемость до 13.06 лет. Здание расположено в престижном районе, в пешей доступности от станции метро, рядом с ТТК. О ЗДАНИИ: В здании есть кабинеты руководителей с комнатами отдыха и переговорными. Земельный участок - 1 415 м2 в долгосрочной аренде на 49 лет. — В здании четыре офисных этажа, цоколь, мансарда. — В цоколе есть столовая. — Мансарда используется как технический этаж. — Мощность 100 Вт на м2. — Планировка: смешанная. —</t>
  </si>
  <si>
    <t xml:space="preserve">Предлагается к покупке отдельно стоящее здание в Басманном районе (ЦАО). Современный особняк с готовой отделкой и подземным паркингом. Идеально подойдет под представительский офис компании, банк, медицинский центр или арендный бизнес. Адрес: Москва, Большой Демидовский переулок, 12 Метро: Бауманская (8 минут пешком) Основные характеристики: • Площадь: общая — 6 205 кв. м, • Этажность: 6 надземных этажей + 2 подземных уровня паркинга. • Планировка: кабинетная с возможностью переделки в open space • Потолки: — 4 м. • Входные группы: центральный с фасада и со двора. • Лифты: 3 пассажирских, 2 гру</t>
  </si>
  <si>
    <t xml:space="preserve">Лот k9495. Продажа БЦ Демидов Двор, расположенного в 8-и минутах пешком от станции метро Бауманская. Общая площадь - 6 270 кв.м. Полезная арендная площадь 4 050 кв.м. Этажность 8 этажей. Мансардный этаж технический. Цокольный, первый, второй, третий и четвертый этажи офисные. Минус первый этаж - парковочные места + 400 кв.м для размещения ресторана. конференц зала и т.д. Минус второй этаж - парковочные места 43 м/м. Два независимых входа (2 ресепшена). 3 пассажирских лифта (два лифта грузоподъемностью 1000 кг и один 650 кг). 2 автомобильных лифта грузоподъемностью 4000 кг. Остекление деревянны</t>
  </si>
  <si>
    <t xml:space="preserve">Старая Басманная, 22</t>
  </si>
  <si>
    <t xml:space="preserve">Курская</t>
  </si>
  <si>
    <t xml:space="preserve">743348 Предлагаем к приобретению отдельно стоящее здание - особняк в неоклассическом стиле, площадью 1 082 кв. м., расположенный в Басманном районе, бывший усадебный дом Сухово-Кобылиных — Ланиных (1856; 1907, архитектор Н.Г.Лазарев, последняя реконструкция 2012 г). Цоколь, 1 этаж, антресоль. Без комиссии для покупателя. Преимущества объекта: -первая линия; -12 минут пешком от станций метро Бауманская, Комсомольская, Курская; -развитая инфраструктура района, множество магазинов, супермаркетов, ресторанов, кафе и других объектов для жизни; -густонаселённый жилой массив; -сверхинтенсивный автомо</t>
  </si>
  <si>
    <t xml:space="preserve">Новорязанская, 8</t>
  </si>
  <si>
    <t xml:space="preserve">Продается бизнес центр 5065 кв.м. с дизайнерским ремонтом, техникой и мебелью. Панорамные окна. Рядом с метро. 1-4 этажи. Собственный паркинг. Арендный поток 18 400 000 руб./мес.</t>
  </si>
  <si>
    <t xml:space="preserve">Южный, 4</t>
  </si>
  <si>
    <t xml:space="preserve">Красные ворота</t>
  </si>
  <si>
    <t xml:space="preserve">В СОБСТВЕННОСТИ УЧАСТОК 2 600 М2, ПОТОЛКИ ДО 5.5 М! ПЛАТИМ АГЕНТАМ. Продажа здания целиком — 5 256,8 м2, г Москва, Каланчевский тупик, д 3-5 стр 4. Ближайшая станция метро Красные Ворота расположена в 4 минутах ходьбы. О ЗДАНИИ: Здание общей площадью 5 256,8 м2 включает в себя 3 этажа с опен спейс пространствами и эксплуатируемую кровлю площадью 568 м2. Технические характеристики включают - центральное отопление, приточную вентиляцию и центральное кондиционирование. Возможно использование под офис, торговое помещение или ресторан, с учетом перепланировки под задачи бизнеса. — Требует ремонта. </t>
  </si>
  <si>
    <t xml:space="preserve">Старая Басманная, 23/9С2</t>
  </si>
  <si>
    <t xml:space="preserve">Историческое двухэтажное кирпичное здание культурного наследия, флигель усадьбы Муравьёвых-Апостолов. 610 м2 в центре города, в 10 минутах пешком до м. Курская, Бауманская, Красные ворота, Комсомольская. Построен около 1803 года в стиле классицизма. Здание входит в состав ансамбля усадьбы. В его стенах располагается гостиница (хостел). Произведена полная реконструкция здания, в том числе инженерная. А так же прилегающий земельный участок 1053+/- кв. м.</t>
  </si>
  <si>
    <t xml:space="preserve">Новая Басманная, 14С1</t>
  </si>
  <si>
    <t xml:space="preserve">ID 6867. Эксклюзив Intermark. Современный бизнес центр с прекрасными видами. Здание расположено в 2 мин езды от Садового кольца, в 7 мин - от ТТК. Находится в центре города, при этом в тихих переулках, рядом со сквером и памятником архитектуры Домом золотопромышленника Стахеева. В бизнес центре выполнена современная дизайнерская отделка, на каждом этаже есть зоны бара/кухни, а также свои санузлы. Всего 6 этажей (включая мансардный) и технический подвал. Высота потолков на первом и втором этажах - 7 м, на остальных - 4м. Есть лифт Otis, лестница из натурального камня. Все коммуникации - централ</t>
  </si>
  <si>
    <t xml:space="preserve">1-я Мытищинская, 3С1</t>
  </si>
  <si>
    <t xml:space="preserve">Алексеевский</t>
  </si>
  <si>
    <t xml:space="preserve">Рижская</t>
  </si>
  <si>
    <t xml:space="preserve">Лот 1101137 Предложение от Собственника! Предлагается к продаже бизнес-центр класса "В", расположенный в районе Рижского вокзала. Общая площадь объекта составляет 6475 кв.м.. В здании выполнена качественная отделка как общих зон, так и офисных помещений. Конструктивной особенностью объекта является отсутствие несущих стен внутри периметра. Данное архитектурное решение позволяет организовать пространство каждого этажа как единое целое, что существенно увеличивает полезную площадь и обеспечивает гибкость в планировке. Здание имеет шесть этажей, используемых под офисные помещения, а также подвал </t>
  </si>
  <si>
    <t xml:space="preserve">Новая Басманная, 14С4</t>
  </si>
  <si>
    <t xml:space="preserve">Отдельно стоящее трехэтажное здание с мансардой и подвалом площадью 1533 м2 расположено на земельном участке 709 м2. 1957 года постройки. Полностью реконструировано в 2004 году. Смешанная планировка. Качественный офисный ремонт. Установлена центральная вентиляция и сплит-системы. Инженерные коммуникации центральные. Высота потолков от до 3 метров. Электрическая мощность 100 кВт. Есть собственный наземный паркинг под шлагбаумом на 3 автомобиля. Дополнительные парковочные места размещены на прилегающей придомовой территории. Участок 709 м2 в долгосрочной аренде. ВРИ участка: под административные</t>
  </si>
  <si>
    <t xml:space="preserve">Лот k18360. Предлагаем в аренду отдельно стоящее здание площадью 1550.2 м.2. 3-этажный особняк с мансардой, класса B+ Находится в ЦАО, 5 минут пешком от станции метро Красные Ворота. Тихое и спокойное место непосредственно в центре Москвы. Рядом Садовое кольцо. Здание реконструировано в 2004 году. Пять уровней - подвал, три этажа и мансарда. Железобетонные перекрытия. Выполнена качественная отделка. Планировка кабинеты и залы. Выделенная мощность 100 кВт. Климатическая инфраструктура - центральная вентиляция, сплит-системы УСНО. Собственная бесплатная парковка на 25 м/мест на огороженной терри</t>
  </si>
  <si>
    <t xml:space="preserve">ПЛАТИМ БОНУС Продажа здания целиком — 1 534 м2, г Москва, ул Новая Басманная, д 14 стр 4. Отдельно стоящее здание расположено в шаговой доступности от метро и Садового кольца. О ЗДАНИИ: Земельный участок - 709 м2 в собственности, площадь застройки - 423 м2. — Общая площадь - 1534 м2. — Полезная площадь- 1296 м2. — Подвал - 109, м2. — 1 этаж - 397 м2. — 2 этаж - 407 м2. — 3 этаж - 423 м2. — 4 этаж - 214 м2. — Мощность - 100 кВт. — Планировка: смешанная. — Типовой ремонт. — Высота потолков: 2.9 м. — Парковочных мест: 10. РАСПОЛОЖЕНИЕ И ОСНАЩЕНИЕ: — Класс здания — B. — Находится во дворе на огоро</t>
  </si>
  <si>
    <t xml:space="preserve">Идеальный офис для Вашего бизнеса в отличном месте! Москва, ул Басманная Нов., 14 стр 4 - Удобная транспортная доступность — всего несколько минут от метро. - Современный и комфортабельный офис. - Готовые инженерные системы. - Парковка для сотрудников. - Развитая инфраструктура района. - Без скрытых платежей и комиссий! Звоните прямо сейчас и Вы получите: РАСШИРЕННУЮ презентацию с актуальными фото и поэтажными планами — вышлем за 15 минут на Ваш WhatsApp! Прямой договор с собственником — никаких посредников! Полное сопровождение сделки на всех этапах лучшими специалистами! Оперативную организа</t>
  </si>
  <si>
    <t xml:space="preserve">Старая Басманная, 18С2</t>
  </si>
  <si>
    <t xml:space="preserve">Продается отдельно стоящее здание — памятник архитектуры XVIIXVIII вв. Бывший жилой дом, идеально адаптирован под коммерческое использование: — офис (в т.ч. приватный офис банка/руководства) — ресторан / представительское пространство — шоу-рум, головной офис, премиальная коммерция Преимущества: — своя закрытая парковка на территории — полная прозрачность: объект приобретен на торгах от г. Москвы, документы в порядке — статус объекта культурного наследия придает уникальность и статус Все вопросы по телефону !</t>
  </si>
  <si>
    <t xml:space="preserve">Ибрагимова, 31к1</t>
  </si>
  <si>
    <t xml:space="preserve">НИЗКАЯ СТОИМОСТЬ КВАДРАТНОГО МЕТРА! ПЛАТИМ БОНУС. Продажа здания целиком — 6 676,8 м2, г Москва, ул Ибрагимова, д 31 к 1. О ЗДАНИИ: Земельный участок - 1 207 м2, пятно застройки, в аренде до 2058 года. — Электрическая мощность - 480 кВт. — Планировка: кабинетная. — Типовой ремонт. — Подходит под: учебные цели. — Высота потолков: 3.5 м. — Парковочных мест: 20. РАСПОЛОЖЕНИЕ И ОСНАЩЕНИЕ: — Здание расположено в шаговой доступности от метро. — Удобные подъездные пути. — Пассажирских лифтов — 1. — Вентиляция: Приточно-вытяжная. — Кондиционирование: Центральное. — Безопасность: Круглосуточный доступ,</t>
  </si>
  <si>
    <t xml:space="preserve">Предлагается на продажу нежилое, отдельно-стоящее здание (за исключением подвального помещения 80 м²) расположенное в районе Соколиная Гора (ВАО) на первой линии домов улицы Ибрагимова, в шаговой доступности от станций метро Семеновская и Партизанская. Общая площадь здания : 6677 м² Продаваемая площадь лота : 6597 м² В собственности завода : 80 м² Состав площадей лота: 6 597 м² - общая площадь 6 536 м² - наземная площадь 6 096 м² - наземная без лестниц 4 808 м² - площадь кабинетов Поэтажные площади: Подвал : 61 из 141 м² (высота потолков 300) 1 этаж : 831 м² (высота потолков 340) 2 этаж : 918 </t>
  </si>
  <si>
    <t xml:space="preserve">Гороховский, 14С2</t>
  </si>
  <si>
    <t xml:space="preserve">Продается здание площадью 624,7 кв.м. в ЦАО. Первый этаж 250 кв.м: 11 комнат. Второй этаж 280 кв.м: 12 комнат. Подвал 94,7 кв.м. На каждом этаже по 2 санузла, кондиционеры, системы охраны и видеонаблюдение, интернет, кабинетная планировка, офисный ремонт. Выделенная мощность - 50 кВт. Приточно-вытяжная вентиляция. Кондиционирование. Центральное водоснабжение и отопление. Высота потолков 2,8м. ИФНС 1. Особняк имеет 2 отдельных входа. Своя парковка на 8 машиномест. Ухоженная прилегающая территория. Фасад виден с первой линии домов. Земельный участок 418 кв.м. в долгосрочной аренде у города до 20</t>
  </si>
  <si>
    <t xml:space="preserve">Графский, 12АС1</t>
  </si>
  <si>
    <t xml:space="preserve">Алексеевская</t>
  </si>
  <si>
    <t xml:space="preserve">УЧАСТОК 19 СОТОК! ПЛАТИМ БОНУС АГЕНТАМ! Продажа здания целиком — 2 606,8 м2, г Москва, Графский пер, д 12А стр 1. О ЗДАНИИ: Земельный участок - 1 923 м2, в долгосрочной аренде на 49 лет, до 2056 года. — Общая площадь здания - 2 606,8 м2. — Полезная площадь здания - 2 400 м2. — В здании 3 этажа, подвальные и цоколь отсутствуют. — Выделенная мощность 300 кВт. — Нагрузка на перекрытия 600 кг на м2 на всех этажах. — Высота потолков 3-4,2 м. — Планировка: кабинетная. — Типовой ремонт. — Подходит под: учебные цели. — Высота потолков: 4.2 м. — Парковочных мест: 15. РАСПОЛОЖЕНИЕ И ОСНАЩЕНИЕ: Отдельно-</t>
  </si>
  <si>
    <t xml:space="preserve">ID 32309 Предлагается по продажу трехэтажное здание - 2606 кв.м. Планировки этажей смешанные, высота потолков от 3 до 4,2 метров. Современное здание оборудованное всей необходимой инженерией - система центральной вентиляции и кондиционирования, пожарная сигнализация, оптоволоко, выделенный высокоскоростной канал связи. Видеонаблюдение, круглосуточная охрана, система контроля доступа. Функциональные планировки этажей позволят организовать комфортное рабочее пространство для сотрудников Вашей компании. В здании выполнена качественная отделка. Наземный паркинг. Удобная транспортная доступность. Н</t>
  </si>
  <si>
    <t xml:space="preserve">Малая Переяславская, 7С2</t>
  </si>
  <si>
    <t xml:space="preserve">Мещанский</t>
  </si>
  <si>
    <t xml:space="preserve">Здание три этажа. потолки три метра. все городские коммуникации. перекрытия железобетонные. выполнен дизайнерский ремонт. готово для въезда. большая парковка на 25 автомобилей ВРИ участка: объекты размещения коммерческих организаций, не связанных с проживанием населения (1.2.7) Объект 3504-3215.</t>
  </si>
  <si>
    <t xml:space="preserve">ЗДАНИЕ ЦЕЛИКОМ — С ДИЗАЙНЕРСКИМ РЕМОНТОМ, МОЩНОСТЬ 100 КВТ Продажа здания целиком — 329,7 м2, г Москва, ул Малая Переяславская, д 7 стр 2. О ЗДАНИИ: Земельный участок в долгосрочной аренде на 49 лет до 2068 года. — В здании выполнен качественный современный ремонт. — Мощность - 100 кВт. — Планировка: кабинетная. — Дизайнерский ремонт. — Высота потолков: 2.85 м. — Парковочных мест: 6. РАСПОЛОЖЕНИЕ И ОСНАЩЕНИЕ: Рядом сложившееся торговое окружение - рестораны, салоны красоты, медцентры, развлекательные, образовательные и культурные организации. Гармоничное сочетание офисного и жилого массива, ак</t>
  </si>
  <si>
    <t xml:space="preserve">1202996 Предлагается отдельно стоящее трехэтажное здание с мансардой рядом с м Рижская (4 мин пешком). Здание расположено в глубине жилого массива. Тихий двор Кабинетная планировка, дизайнерский ремонт, все коммуникации. Парковка на 5 машин, шлагбаум при въезде во двор, охрана, пропускная система в здание. Земельный участок 166 кв. м под зданием в аренде у города до 2068 года. Вокруг сложившееся торговое окружение - рестораны, салоны красоты, медцентры, развлекательные, образовательные и культурные организации. Окна: обычные, электрическая мощность: 100кВт, высота потолков: от 2.6 до 4 м.</t>
  </si>
  <si>
    <t xml:space="preserve">Орлово-Давыдовский, 2АС1</t>
  </si>
  <si>
    <t xml:space="preserve">Проспект Мира</t>
  </si>
  <si>
    <t xml:space="preserve">"Городская усадьба в Орлово-Давыдовском" — уникальное предложение для делового или дипломатического представительства в центре Москвы. Городская усадьба состоит из двух самостоятельных участков, каждый из которых обладает собственной территорией, двумя особняками, парком и подземным паркингом. Особняки бережно реконструированы и подготовлены для работы, деловых встреч и отдыха. В домах хватит места для создания любых помещений: конференц-залов, переговорных, рабочих кабинетов, спортзала, бассейна, спа. В каждом особняке есть несколько входов, чтобы разделить потоки руководителей, сотрудников и</t>
  </si>
  <si>
    <t xml:space="preserve">"Городская усадьба в Орлово-Давыдовском" - уникальное предложение для делового или дипломатического представительства в центре Москвы. Городская усадьба состоит из двух самостоятельных участков, каждый из которых обладает собственной территорией, двумя особняками, парком и подземным паркингом. Особняки бережно реконструированы и подготовлены для работы, деловых встреч и отдыха. В домах хватит места для создания любых помещений: конференц-залов, переговорных, рабочих кабинетов, спортзала, бассейна, спа. В каждом особняке есть несколько входов, чтобы разделить потоки руководителей, сотрудников и</t>
  </si>
  <si>
    <t xml:space="preserve">Городская усадьба в Орлово-Давыдовском — уникальное предложение для делового или дипломатического представительства в центре Москвы. Четыре исторических особняка, соединённые подземной галереей, и собственный ландшафтный парк 2 гектара в 3 км от Кремля. Особняки бережно реконструированы и подготовлены для работы, деловых встреч и отдыха. В домах хватит места для создания любых помещений: конференц-залов, переговорных, рабочих кабинетов, спортзала, бассейна, спа. В каждом особняке есть несколько входов, чтобы разделить потоки руководителей, сотрудников и гостей. Для спуска в галерею и паркинг в</t>
  </si>
  <si>
    <t xml:space="preserve">Каланчевский, 9С2</t>
  </si>
  <si>
    <t xml:space="preserve">Продажа отдельно стоящего здания в центре Москвы, Каланчевский тупик, д.9, стр.2 м. Красные Ворота (2 мин пешком) Здание 1917 года постройки общей площадью 498,4 м2, три уровня (высокий цоколь, фактически первый этаж -316,4 м2, 1й этаж 105,2 м2, мансарда 76,8 м2). Не является памятником архитектуры. Договор аренды земли до 2061 года. Четыре отдельных входа, собственная парковка на 9 автомобилей, зона разгрузки погрузки, высота потолков от 2,65 до 2,9 м., электрическая мощность 160 кВт, автономная вытяжная вентиляция, центральные коммуникации. В здании выполнен дизайнерский ремонт под арендатор</t>
  </si>
  <si>
    <t xml:space="preserve">Академика Туполева, 15к17</t>
  </si>
  <si>
    <t xml:space="preserve">Предлагается на продажу, нежилое, отдельно-стоящее здание, в составе Бизнес-центра Туполев Плаза II, расположенное в Басманном районе (ЦАО) в шаговой доступности от станции метро Бауманская. 969 м² - общая площадь 735 м² - наземная площадь 671 м² - наземная без лестниц 655 м² - наземная без лестниц и надстройки 505 м² - площадь кабинетов Поэтажные площади: 0 этаж : 234 м² (высота потолков 280) 1 этаж : 237 м² (высота потолков 380) 2 этаж : 240 м² (высота потолков 385) 3 этаж : 242 м² (высота потолков 385) Надстройка : 16 м² (высота потолков 190) Земельный участок : 202 м² Вид права : аренда до</t>
  </si>
  <si>
    <t xml:space="preserve">Хомутовский, 5-7С13</t>
  </si>
  <si>
    <t xml:space="preserve">Лучшая цена | После ремонта</t>
  </si>
  <si>
    <t xml:space="preserve">Двухэтажный особняк с подвалом в Хомутовском тупике в Басманном районе. Здание 1917 года постройки, фасад выполнен в минималистичном стиле из красного кирпича. Смешанная планировка позволяет адаптировать пространство под любой вид деятельности. На данный момент здание занимает гостиница. Внутри организовано 22 номера, выполнен качественный ремонт. Проведены центральные коммуникации, электрическая мощность составляет 100 кВт. На прилегающей территории организована парковка на 3-4 машины. Особняк подойдёт для арендного бизнеса, размещения офиса или гостиницы. Здание расположено в тихом дворе ряд</t>
  </si>
  <si>
    <t xml:space="preserve">3-я Мытищинская, 3С1</t>
  </si>
  <si>
    <t xml:space="preserve">ЗДАНИЕ ПОСЛЕ РЕМОНТА! ПЛАТИМ АГЕНТАМ. ПОМЕЩЕНИЕ С АРЕНДАТОРОМ. Продажа здания целиком — 7 290,5 м2, г Москва, ул 3-я Мытищинская, д 3 стр 1. АРЕНДНЫЙ БИЗНЕС: — Доходность 11%, окупаемость до 8.93 лет. Здание расположено в Северо-восточном административном округе в пешей доступности от метро Алексеевская, проспекта Мира и парка Сокольники. О ЗДАНИИ: Выполнен свежий ремонт, сформирована функциональная планировка. — Здание состоит из 10 полноценных этажей. — Земельный участок в долгосрочной аренде на 49 лет. — Площадь земельного участка - 1 158 м2. — Планировка: смешанная. — Типовой ремонт. — Пар</t>
  </si>
  <si>
    <t xml:space="preserve">Предлагается на продажу нежилое, отдельно-стоящее здание, расположенное в Алексеевском районе (СВАО) в шаговой доступности от станции метро Алексеевская. Вторая линия домов. Состав помещений здания: 7 290 м² - общая площадь 7 290 м² - наземная площадь 6 914 м² - наземная без лестниц 4 959 м² - площадь кабинетов Поэтажные площади: 01 этаж : 719 м² (высота потолков 310) 02 этаж : 733 м² (высота потолков 325) 03 этаж : 719 м² (высота потолков 325) 04 этаж : 727 м² (высота потолков 325) 05 этаж : 730 м² (высота потолков 300) 06 этаж : 735 м² (высота потолков 325) 07 этаж : 736 м² (высота потолков </t>
  </si>
  <si>
    <t xml:space="preserve">Старая Басманная, 7С2</t>
  </si>
  <si>
    <t xml:space="preserve">Четырёхэтажный особняк на Старой Басманной улице в Басманном районе. Здание построено в 1912 и было реконструировано в 2002 под деловой центр премиального класса. Облицовка дома выполнена кирпичом, фасад украшен архитектурным декором — белого цвета колоннады, пилястры, карнизы, роскошная балюстрада у входа, балкон на 2-м этаже с кованым ограждением. Внутри смешанная планировка, установлены системы пожарной безопасности, охраны и видеонаблюдения, интернета и телефонии. Интерьер входной группы уникален дизайнерским решением — высокие потолки, широкие лестничные марши, центральная рецепция, камин</t>
  </si>
  <si>
    <t xml:space="preserve">Боровая, 18</t>
  </si>
  <si>
    <t xml:space="preserve">Сортировочная</t>
  </si>
  <si>
    <t xml:space="preserve">Продается отдельно стоящее здание по адресу ул. Боровая, 18. Территория огорожена, имеются наземные парковочные места на 25 машин. Солидная входная группа. Имеются отдельные входы в здание. Площадь здания 1 303,9 кв.м., 3 этажа. Удобная планировка помещений кабинетная. Отделка офисная. Состояние инженерных систем рабочее, эксплуатируемое в настоящее время. Высота потолков в помещениях 3,10 м. Земельный участок под зданием в долгосрочной аренде сроком до 2047 года. ВРИ земельного участка эксплуатация офиса. Выделенная мощность на здание 95 кВт Возможное использование: размещение офиса, медицинс</t>
  </si>
  <si>
    <t xml:space="preserve">Гиляровского, 39С3</t>
  </si>
  <si>
    <t xml:space="preserve">ЗДАНИЕ ЦЕЛИКОМ — С ДИЗАЙНЕРСКИМ РЕМОНТОМ, КАБИНЕТНАЯ ПЛАНИРОВКА Продажа здания целиком — 7 529,6 м2, г Москва, ул Гиляровского, д 39 стр 3. О ЗДАНИИ: Общая площадь здания, включая места общего пользования и рестораны не входящие в сделку - 9 725 м2. — Офисная площадь - 7 529,6 м2. — Все в здании 13 этажей, выполнен качественный ремонт. — Есть выделенные зоны для руководителей. — Планировка: кабинетная. — Дизайнерский ремонт. — VIP-офис. — Парковочных мест: 12. РАСПОЛОЖЕНИЕ И ОСНАЩЕНИЕ: — Класс здания — B. — Бизнес-центр в шаговой доступности от метро. — Рядом пролегает крупная магистраль - Про</t>
  </si>
  <si>
    <t xml:space="preserve">Казакова, 3С2</t>
  </si>
  <si>
    <t xml:space="preserve">ЗДАНИЕ ЦЕЛИКОМ — С ДИЗАЙНЕРСКИМ РЕМОНТОМ, В СТИЛЕ ЛОФТ Продажа здания целиком — 491 м2, г Москва, ул Казакова, д 3 стр 2. О ЗДАНИИ: В здании функциональная планировка, есть зоны отдыха, рабочие зоны open space и отдельные кабинеты. Земельный участок 366 м2 под зданием в долгосрочной аренде до 2072 года. — Перекрытия - железобетонные. — Планировка: смешанная. — Дизайнерский ремонт. — VIP-офис. — Лофт. — Парковочных мест: 10. РАСПОЛОЖЕНИЕ И ОСНАЩЕНИЕ: Расположение здания характеризуется хорошей транспортной доступностью как личным, так и общественным транспортом Курская. — Класс здания — B+. — Н</t>
  </si>
  <si>
    <t xml:space="preserve">828581 Предлагаем отдельно стоящее трехэтажное административное здание, площадью 506 кв. м. Без комиссии для покупателя. Преимущества объекта: -шаговая доступность от станции метро Курская (10 минут пешком); -удобная транспортная доступность: 130 м до Садового кольца, 3 км до ТТК, 3.4 км до шоссе Энтузиастов;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-офисная отделка; -витринное </t>
  </si>
  <si>
    <t xml:space="preserve">Садовая-Спасская, 3С3</t>
  </si>
  <si>
    <t xml:space="preserve">Предлагается на продажу торговое, отдельно-стоящее здание (за исключением помещения 517 м²), расположенное в Красносельском районе (ЦАО) на первой линии Садовой-Спасской улицы, в шаговой доступности от станций метро Сухаревская, Красные ворота, Комсомольская и Чистые пруды. Общая площадь здания : 3942 м² Продаваемая площадь лота : 3175 м² В собственности третьих лиц : 517 м² Состав площадей лота: 3 175 м² - общая площадь 2 564 м² - наземная площадь 2 416 м² - наземная без лестниц Поэтажные площади: 0 этаж : 611 м² (высота потолков 286) 1 этаж : 992 м² (высота потолков 510) Антресоль : 72 м² (в</t>
  </si>
  <si>
    <t xml:space="preserve">Садовая-Черногрязская, 22С3</t>
  </si>
  <si>
    <t xml:space="preserve">71139 Отдельно стоящее 3-х этажное здание с подземным этажом в ЦАО. Объект расположен на оживленной улице Покровка, до метро Красные ворота 7 минут пешком. В здании есть лифт, парковка на прилегающей территории. 4 отдельных входа. Смешанная планировка. Сейчас в помещении банк, есть хранилище, депозитарий, сделан хороший ремонт. Витринное остекление. Земельный участок 478 кв. м в аренде до 2028 года. Технические характеристики: Электрическая мощность: 130 кВт Высота потолков: от 2.92 до 3.23 м Арендатор: Банк</t>
  </si>
  <si>
    <t xml:space="preserve">Покровка, 50/2С2</t>
  </si>
  <si>
    <t xml:space="preserve">ЭКСКЛЮЗИВНОЕ ПРЕДЛОЖЕНИЕ! ОСЗ! 1-я линия домов, витринное остекление, 5 отдельных входов. Потолки 4.5 м2, 200 квт, вытяжка на крышу. Назначение: ПСН. Действующие арендаторы: бар Рюмочная Довлатов, Irish pub Buddy McDaniel, Салон красоты 2 этаж. Высокий пешеходный трафик, хорошая видимость с дороги. Угловое здание Покровка/ Садовое кольцо. Ближайшие станции метро: Курская, Китай-город, Красные ворота.</t>
  </si>
  <si>
    <t xml:space="preserve">Мясницкая, 44С2</t>
  </si>
  <si>
    <t xml:space="preserve">ЭКСКЛЮЗИВ. Предлагается к продаже уникальный особняк площадью 1600 м2, имеющий статус объекта культурного наследия. Объект расположен в Басманном районе ЦАО, на первой линии Мясницкой улицы - одной из самых знаковых и оживлённых улиц центра Москвы. Рядом станции метро Красные ворота и Чистые пруды, быстрый выезд на Садовое кольцо что обеспечивает отличную транспортную доступность. В XIX веке дом вошёл в культурную летопись столицы - здесь останавливался Ференц Лист, бывал Пётр Ильич Чайковский, а молодой Клод Дебюсси преподавал музыку в семье Надежды фон Мекк. Благодаря этой уникальной истории</t>
  </si>
  <si>
    <t xml:space="preserve">Нижний Сусальный, 5с19А</t>
  </si>
  <si>
    <t xml:space="preserve">Продается отдельно-стоящее кирпичное здание 1955 года постройки. Здание находится в историческом центре Москвы, в непосредственной близости от м. Курская (шаговая доступность). В настоящее время используется под офисный центр, однако возможна смена вида разрешенного использования по медицинский центр, школу искусств, гостиницу и многое другое. Здание расположено на земельном участке, площадью 1100 кв.м, находящегося в Долгосрочной аренде на 49 лет. В настоящее время проводятся работы по согласованию установки декоративного забора. Все коммуникации городские, электричество 80 кВТ.</t>
  </si>
  <si>
    <t xml:space="preserve">Бориса Жигуленкова, 7</t>
  </si>
  <si>
    <t xml:space="preserve">МЫ РАБОТАЕМ С АГЕНТАМИ И ПЛАТИМ ИМ ВОЗНАГРАЖДЕНИЕ Продажа здания целиком — 665 м2, г Москва, ул Бориса Жигулёнкова, д 7. О ЗДАНИИ: Есть площадка для разгрузки, ворота, 2 калитки с магнитным кодом. Все коммуникации центральные, есть прямые договора с Мосэнерго, Гортепло, Мосводоканал. Мощность 26,5 кВт, возможно увеличение до 111,5 кВт, есть одобренная заявка в Мосэнерго. — В помещении есть грузовой лифт. — Всего 6 выходов. — Перекрытия ж.б. — Территория огорожена. — Планировка: смешанная. — Типовой ремонт. — Подходит под: медцентр, учебные цели. — Высота потолков: 3 м. РАСПОЛОЖЕНИЕ И ОСНАЩЕНИЕ</t>
  </si>
  <si>
    <t xml:space="preserve">Мира, 20К2</t>
  </si>
  <si>
    <t xml:space="preserve">ОСОБНЯК С УЧАСТКОМ В СОБСТВЕННОСТИ! ПЛАТИМ АГЕНТАМ. Продажа здания целиком — 800 м2, г Москва, пр-кт Мира, д 20 к 2. О ЗДАНИИ: Банковский особняк - есть клиентская зона, депозитарий на 360 ячеек, хранилище и кассовые узлы. На этажах с железобетонными перекрытиями есть санузлы, переговорные комнаты, кухня. — Особняк общей площадью 803,1 м2. — Всего 4 уровня - 3 этажа и подвал. — 1 этаж - 234,5 м2. — 2 этаж - 230,9 м2. — 3 этаж - 220,3 м2. — Подвал - 117,4 м2. — Мощность - 50 кВт. — Площадь земельного участка - 370 м2, в собственности. — Планировка: кабинетная. — Типовой ремонт. — Подходит под: </t>
  </si>
  <si>
    <t xml:space="preserve">Погонный, 3А</t>
  </si>
  <si>
    <t xml:space="preserve">Богородское</t>
  </si>
  <si>
    <t xml:space="preserve">Белокаменная</t>
  </si>
  <si>
    <t xml:space="preserve">686840 Предлагаем помещение свободного назначения с арендатором Яндекс Лавка, площадью 515,7 кв. м., расположенное на первом этаже жилого дома в ЖК Лосиный остров. Без комиссии для покупателя. Преимущества объекта: -ЖК состоит из 7 корпусов, этажностью от 12 до 29 этажей; -25 минут пешком от станции метро Бульвар Рокоссовского; -густонаселённый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-надежный сетевой арендатор; -место для вывески; -рядом большая парковка; -рядом оста</t>
  </si>
  <si>
    <t xml:space="preserve">Щепкина, 51/4С1</t>
  </si>
  <si>
    <t xml:space="preserve">Продажа административного здания от крупного собственника АО "Бизнес-Недвижимость". м. Проспект Мира. Район деловой активности. Рядом СК "Олимпийский" Общая площадь здания 4 953,5 кв.м., Земельный участок 1 375 кв.м. в долгосрочной аренде Высота потолков 3,75 м, центральные коммуникации. Выделенная мощность 566 кВт. Нет парковки. Цена продажи 1 750 000 000 млн руб. с НДС. ДКП.</t>
  </si>
  <si>
    <t xml:space="preserve">Нижний Сусальный, 6с4</t>
  </si>
  <si>
    <t xml:space="preserve">Участок под девелопмент в сердце Армы. 358 м². Цена 65 млн руб. Потенциал — 650 м² нового строительства. Лот для профессионального инвестора или девелопера. Нижний Сусальный пер., д. 6, стр. 4. 5 минут пешком от м. Курская. Статус объекта: В собственности. Деревянное здание 1965 года (358 м²) в охранной зоне. Назначение — нежилое. Градостроительный потенциал (при успешном согласовании снос/реконструкция): Пятно застройки: сохранение или незначительное увеличение. Этажность: возможность воссоздания 2 этажей + мансарда. Новая площадь: до 600 м² (за счет современных технологий). Материал: кирпич,</t>
  </si>
  <si>
    <t xml:space="preserve">Погонный, 3Ас1</t>
  </si>
  <si>
    <t xml:space="preserve">Id 61403. Продажа готового арендного бизнеса в стилобатной части Жилого Комплекса бизнес-класса "Лосиный остров". Жилой комплекс состоит из 7 корпусов, где находится более чем 1300 квартир, все коммерческие помещения рядом сданы. Договор подписан на 5 лет. Индексация 5 %. МАП - 500 000 руб Характеристика: - Вход в помещение общий со стороны улицы. - Два отдельных входа - Общая площадь 515 м2 - Электричество 45 кВт - Высота потолков переменная - С отделкой Звоните, уважаемые клиенты! Отвечу на все вопросы</t>
  </si>
  <si>
    <t xml:space="preserve">Мира, 16С2</t>
  </si>
  <si>
    <t xml:space="preserve">ЗДАНИЕ С ПОДЗЕМНОЙ ПАРКОВКОЙ! ПЛАТИМ БОНУС. Продажа здания целиком — 3 924,8 м2, г Москва, пр-кт Мира, д 16 стр 2. О ЗДАНИИ: Наземная площадь здания - 3 094 м2, помещения имеют высоту потолков около 2,9-3,04 м и подходят для размещения офисов различного формата. Земельный участок площадью 1 318 м2 находится в аренде до 2072 года. Электрическая мощность составляет 350 кВт, все городские инженерные сети подключены. Подземный паркинг рассчитан на 10 машиномест, наземная парковка - примерно на 10-15 машиномест. — Поэтажные площади составляют. — 834 м2 на цокольном уровне,. — 846 м2 на первом этаже</t>
  </si>
  <si>
    <t xml:space="preserve">Мира, 14С1</t>
  </si>
  <si>
    <t xml:space="preserve">Сухаревская</t>
  </si>
  <si>
    <t xml:space="preserve">Нежилое здание, расположенное на земельном участке: Объект 1: Нежилое здание, адрес: г.Москва, муниципальный округ Мещанский, пр-кт Мира, д.14, стр.1, общая площадь 791,0 кв. м, кадастровый номер 77:01:0003042:1078, является объектом культурного наследия. Охранное обязательство собственника объекта культурного наследия 424 от 12.10.2021, выдано Департаментом культурного наследия г.Москвы (запись в ЕГРН 77:01:0003042:1078-77/051/2021-4 от 22.10.2021). Обременение ипотека в пользу г.Москвы (запись в ЕГРН 77:01:0003042:1078-77/011/2018-6 от 17.01.2018). Объект 2: Земельный участок, адрес: г.Москв</t>
  </si>
  <si>
    <t xml:space="preserve">Вольная, 35С8</t>
  </si>
  <si>
    <t xml:space="preserve">Номер объекта: 538693. Продажа ОСЗ ул. Вольная, д. 35, стр. 8 Общий ЗУ в аренде до 2061 г. ВРИ: для размещения производства и адм. зданий ОСНОВНЫЕ ХАРАКТЕРИСТИКИ - Площадь: 1 214,3 м² - Высота потолков: 3-8 м - Эл. мощность: 149 кВт - Удобная транспортная развязка - Наземная парковка - Капитальный ремонт: 2022 г. - Свободная планировка - 3х этажное здание без подвала - 7 отдельных входов - Коммуникации заменены - Новое остекление Почему стоит обратиться к нам? - Самая большая и актуальная база недвижимости - Подбор оптимального предложения с учетом задач вашей компании - Консультация и сопрово</t>
  </si>
  <si>
    <t xml:space="preserve">ТОРГОВЫЙ ЦЕНТР У МЕТРО С ИСТОРИЧЕСКИМ СКВЕРОМ! ПЛАТИМ БОНУС. ПОМЕЩЕНИЕ С АРЕНДАТОРОМ. Продажа здания целиком — 6 647,6 м2, г Москва, Сокольническая пл, д 9А. АРЕНДНЫЙ БИЗНЕС: — Перспективный торговый центр с высоким пешеходным трафиком в центре исторического района с надёжными и якорными арендаторами и выгодными договорами аренды. — Доходность 9%, окупаемость до 10.83 лет. Торговый центр с 10 входными группами на Сокольнической площади у выхода из исторически самой первой станции московского мет</t>
  </si>
  <si>
    <t xml:space="preserve">Русаковская, 25С1</t>
  </si>
  <si>
    <t xml:space="preserve">Продаётся готовый арендный бизнес в шаговой доступности от метро "Сокольники". Помещение располагается на первом этаже дома. Крупный сложившийся жилой район с высокой плотностью застройки и развитой инфраструктурой. В окружении находятся жилые комплексы "В Сокольниках", "Ренессанс", торговый центр "Сокольники", гостиница "Holiday Inn", ВУЗ "МГЛУ", парк культуры и отдыха "Сокольники". Арендатор - сеть кофеен "ПРАВДА КОФЕ", ДДА - 3 года, МАП - 175 232 рублей. Цена продажи - 23 131 000 рублей. Подр</t>
  </si>
  <si>
    <t xml:space="preserve">От собственника! Готовый арендный бизнес! Надежный и успешный арендатор: Vedenina Center - салон и лицензированный образовательный центр по перманентному макияжу и косметологии. Помещение 6 (площадь 138,4 м2) с отдельным входом на 1-м этаже жилого комплекса премиум-класса Ренессанс! Все инженерные коммуникации. Высокий рекламный потенциал и места для размещения рекламы на фасаде. Помещение расположено на 1-й линии вдоль ул. Матросская Тишина, рядом с храмом, медицинским колледжем, детской городс</t>
  </si>
  <si>
    <t xml:space="preserve">757625 Предлагаем торговое помещение с арендаторами Аптека, Цветы, Oзон, Офис, площадью 658 кв. м., расположенное в 11-этажном жилом доме. 1 этаж и антресоль. Без комиссии для покупателя. Преимущества объекта: -первая линия ул. Гастелло; -9 минут пешком от станции метро "Электрозаводская";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t>
  </si>
  <si>
    <t xml:space="preserve">Арт. 67704457 Торговое помещение площадью 657,2 на 1-ой линии ул. Стромынка с арендатором "Пятёрочка". Помещение встроенно-пристроенное к жилому дому: 1-й этаж (Пятерочка) 459,8 кв.м., подвал (Wildberries, Озон, Яндекс) 197,2 кв.м. Витринное остекление и открытая планировка. Высота потолков 3,3 метра. Электричество 100 кВт. Зона погрузки/разгрузки. Арендатор Пятёрочка - ДДА до 2033 года. Привязка к РТО 6%. Индексация по соглашению сторон 5%. МАП = 1 250 000 руб. Совокупный МАП = 1 370 000 рублей</t>
  </si>
  <si>
    <t xml:space="preserve">40949 Предлагаем отдельно стоящее пятиэтажное офисное здание с арендатором, площадью 3 311 кв. м. Без комиссии для покупателя. Преимущества объекта: -пешая доступность от станции метро Сокольники (18 минут пешком); -объект отлично просматривается, находится в легком доступе для клиентов; -развитая инфраструктура района; -кабинетная планировка с качественным ремонтом; -охранно-пожарная сигнализация; -2 лифта и 10 мокрых точек; -система контроля доступа в здание; -на охраняемой территории организо</t>
  </si>
  <si>
    <t xml:space="preserve">851250 Предлагаем помещение свободного назначения с арендатором "Центр социального обслуживания" в ТЦ "Краснопрудный", площадью 664 кв. м., расположенное на третьем этаже 3-этажного здания. Без комиссии для покупателя. Преимущества объекта: -первая линия ул. Краснопрудная; -2 минуты пешком от станции метро "Красносельская";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t>
  </si>
  <si>
    <t xml:space="preserve">Акция до 30.10.26! Продажа готового арендного бизнеса с арендатором ПВЗ "Озон" в МФК класса А напротив метро Красносельская. В стоимость включен НДС. МАП 10% от РТО, но не менее 162 000 ₽. Доходность 10,8% годовых. Площадь 41 м2, 2-й этаж. Высокие потолки. В окружении крупный жилой и деловой район, многоэтажная застройка. Высокий пешеходный и автомобильный трафик от метро и ТТК. Предусмотрен подземный и наземный паркинг. Высокий уровень инженерии - кондиционирование и вентиляция, 2019 год постро</t>
  </si>
  <si>
    <t xml:space="preserve">Верхняя Красносельская, 17АС1б</t>
  </si>
  <si>
    <t xml:space="preserve">ПОМЕЩЕНИЕ С АРЕНДАТОРОМ. Продажа готового арендного бизнеса — 24,4 м2, г Москва, ул Верхняя Красносельская, д 17А стр 1Б. АРЕНДНЫЙ БИЗНЕС: — Арендный доход — 110 000 руб. в месяц. — Доходность 12%, окупаемость до 8.66 лет. Офисный центр расположен в тихом зеленом переулке в пяти минутах ходьбы от метро Красносельская. О ПОМЕЩЕНИИ: — Один кабинет на этаже. — Выполнен новый качественный ремонт. — Планировка: открытая. — Офисная отделка. — Высота потолков: 3 м. ЗДАНИЕ И ТЕРРИТОРИЯ: Здание скрыто дв</t>
  </si>
  <si>
    <t xml:space="preserve">ПОМЕЩЕНИЕ С АРЕНДАТОРОМ. Продажа готового арендного бизнеса — 18,8 м2, г Москва, ул Верхняя Красносельская, д 17А стр 1Б. АРЕНДНЫЙ БИЗНЕС: — Арендный доход — 80 000 руб. в месяц. — Доходность 11%, окупаемость до 8.72 лет. Офисный центр расположен в тихом зеленом переулке в пяти минутах ходьбы от метро Красносельская. О ПОМЕЩЕНИИ: — Один кабинет на этаже. — Выполнен новый качественный ремонт. — Планировка: открытая. — Офисная отделка. — Высота потолков: 3 м. ЗДАНИЕ И ТЕРРИТОРИЯ: Здание скрыто дво</t>
  </si>
  <si>
    <t xml:space="preserve">Продается готовый арендный бизнес с действующим арендатором.</t>
  </si>
  <si>
    <t xml:space="preserve">ПОМЕЩЕНИЕ С АРЕНДАТОРОМ. Продажа готового арендного бизнеса — 35,1 м2, г Москва, ул Верхняя Красносельская, д 17А стр 1Б. АРЕНДНЫЙ БИЗНЕС: — Арендный доход — 151 000 руб. в месяц. — Доходность 11%, окупаемость до 8.72 лет. Офисный центр расположен в тихом зеленом переулке в пяти минутах ходьбы от метро Красносельская. О ПОМЕЩЕНИИ: — Один кабинет на этаже. — Выполнен новый качественный ремонт. — Планировка: открытая. — Офисная отделка. — Высота потолков: 3 м. ЗДАНИЕ И ТЕРРИТОРИЯ: Здание скрыто дв</t>
  </si>
  <si>
    <t xml:space="preserve">ГАБ с арендатором | Доход 95000 ₽/мес. Продается готовый арендный бизнес с действующим арендатором в Москве. Стоимость: 11450000 ₽ Инвестиционные показатели Арендный поток — 95000 ₽ в месяц Ежегодная индексация арендной платы — 5% О помещении Площадь — 48,7 м² -1-й этаж, цоколь Выполнен новый качественный ремонт Санузел расположен на этаже Действующий арендатор — доход с первого дня после покупки Преимущества Сервисная управляющая компания берет на себя взаимодействие с арендатором и текущее соп</t>
  </si>
  <si>
    <t xml:space="preserve">ГАБ с арендатором | Доход 70800 ₽/мес. Продается готовый арендный бизнес с действующим арендатором в Москве Инвестиционные показатели Арендный поток — 70800 ₽ в месяц Ежегодная индексация арендной платы — 5% О помещении Площадь — 17,7 м² 2-й этаж Выполнен новый качественный ремонт Санузел расположен на этаже Действующий арендатор — доход с первого дня после покупки Доступ 24/7, охрана, умный ресепшен, интерактивные переговорные, кафе и бесплатный кофе для владельцев и резидентов Преимущества Сер</t>
  </si>
  <si>
    <t xml:space="preserve">ГАБ с арендатором | Доход 72 000 ₽/мес. | Окупаемость 8,3 лет Продается готовый арендный бизнес с действующим арендатором в Москве. Стоимость: 7 155 000 ₽ Инвестиционные показатели Арендный поток — 72 000 ₽ в месяц с момента покупки Ежегодная индексация арендной платы — 5% Окупаемость — около 8,3 года О помещении Площадь — 15,9 м² 3-й этаж Выполнен новый качественный ремонт Санузел расположен на этаже Действующий арендатор — доход с первого дня после покупки Доступ 24/7, охрана, умный ресепшен, </t>
  </si>
  <si>
    <t xml:space="preserve">Нижняя Красносельская, 5С1</t>
  </si>
  <si>
    <t xml:space="preserve">815103 Предлагаем к приобретению торговое помещение с арендаторами кафе Вьетнамской кухни и подразделение Азбуки Вкуса, площадью 241,8 кв. м., расположенное на первом и цокольном этажах 3-этажного административного здания. Без комиссии для покупателя. Преимущества объекта: -первая линия; -2 минуты пешком от станции метро Красносельская; -густонаселенный район с хорошим трафиком и сложившейся инфраструктурой; -сверхинтенсивный автомобильный и пешеходный трафик; -отлично просматривается, находится</t>
  </si>
  <si>
    <t xml:space="preserve">ТЦ ПОЛНОСТЬЮ ЗАПОЛНЕН АРЕНДАТОРАМИ! ПЛАТИМ БОНУС. ПОМЕЩЕНИЕ С АРЕНДАТОРОМ. Продажа здания целиком — 3 952,6 м2, г Москва, ул Большая Семёновская, д 17А. АРЕНДНЫЙ БИЗНЕС: — Доходность 10%, окупаемость до 10 лет. Торговый центр расположен в 90 м от метро Электрозаводская, и до платформы Электрозаводская - 150 м. О ЗДАНИИ: В ТЦ Фудкорт на 200 посадочных мест, 28 магазинов и 7 ресторанов. Договоры с ресурсоснабжающими организациями - прямые, коммуникации - центральные. Земельный участок 1 004 м2 в д</t>
  </si>
  <si>
    <t xml:space="preserve">Большой Краснопрудный, 8/12</t>
  </si>
  <si>
    <t xml:space="preserve">1151872 Предлагаем помещение свободного назначения с гарантированным арендным потоком, площадью 149,7 кв. м., расположенное на цокольном этаже жилого дома. Преимущества объекта: - Шаговая доступность от станции метро Красносельская (5 минут пешком); - Помещение с отделкой; - Цокольный этаж на уровне 1 этажа; - Планировка кабинетная; - Высота потолков 2,7 м; - Электрическая мощность 30 кВт; - Текущий арендный поток - ГАП 3 600 000 руб.; - Арендатор: галерея современного искусства. Оперативно орга</t>
  </si>
  <si>
    <t xml:space="preserve">Продается ОСЗ в формате ГАБ - инвестиционный актив с прогнозируемым арендным доходом. Исторический особняк Баум Холл 513 кв.м - 2 этажа. Площадь земельного участка 1,5 тыс кв.м в аренде до 2069 г. Баум Холл расположен в исторически сформировавшемся деловом районе Москвы, в непосредственной близости от Третьего транспортного кольца и нескольких станций метро. Район отличается высокой деловой активностью, плотной жилой застройкой и стабильным пешеходным и автомобильным трафиком. Среднечасовой пеше</t>
  </si>
  <si>
    <t xml:space="preserve">111004 Предлагаем помещение свободного назначения с сетевыми арендаторами Кальянная Мята Lounge, Салон цветов, Пекарня, площадью 280 кв. м., расположенное в имущественном комплексе из двух смежных одноэтажных зданий на Преображенском рынке. 1 этаж. Без комиссии для покупателя. Преимущества объекта: -первая линия домов; -4 минуты пешком от станции метро Преображенская площадь; -объект отлично просматривается, находится в легком доступе для клиентов; -развитая инфраструктура района; -надежные и се</t>
  </si>
  <si>
    <t xml:space="preserve">Продается отлельно стоящее здание рядом с метро Семеновская. ТЦ. Целевое назначение - общепит и торговля. Участок земли в арерде на 49 лет. Здание состоит из 3 этажей и подвала с окнами. Все уровни равны по площади. Вся площадь эксплуатируемая, включая крышу. В здании имеется лифт и две лестницы (основная- центральная и пожарная) 6 Входов. Потолки 3.5- 4 метра. Свободная планировка( несущие только колоны). 3/4 Площадей сданы в долгосрочную аренды под рестораны. Объект можно рассматривать, как го</t>
  </si>
  <si>
    <t xml:space="preserve">ГОТОВЫЙ БИЗНЕС! ПОПУЛЯРНАЯ ЛОКАЦИЯ! ПЛАТИМ АГЕНТАМ! ПОМЕЩЕНИЕ С АРЕНДАТОРОМ. Продажа здания целиком — 304,9 м2, г Москва, ул Каланчевская, д 14 стр 1. АРЕНДНЫЙ БИЗНЕС: — Доходность 8%, окупаемость до 12.5 лет. О ЗДАНИИ: На нём можно вместить до 30 автомобилей или построить ещё одно здание. Электричество 110 кВт, есть возможность увеличения до 300 кВт. — Здание состоит из трёх этажей. — Не является объектом культурного наследия. — Реконструкция была проведена в 2019 году. — Парковочная площадка 6</t>
  </si>
  <si>
    <t xml:space="preserve">БЦ КЛАССА А. ПЛАТИМ БОНУС. ПОМЕЩЕНИЕ С АРЕНДАТОРОМ. Продажа здания целиком — 6 205,5 м2, г Москва, Большой Демидовский пер, д 12. АРЕНДНЫЙ БИЗНЕС: — Доходность 8%, окупаемость до 13.06 лет. Здание расположено в престижном районе, в пешей доступности от станции метро, рядом с ТТК. О ЗДАНИИ: В здании есть кабинеты руководителей с комнатами отдыха и переговорными. Земельный участок - 1 415 м2 в долгосрочной аренде на 49 лет. — В здании четыре офисных этажа, цоколь, мансарда. — В цоколе есть столова</t>
  </si>
  <si>
    <t xml:space="preserve">Орликов, 3Б</t>
  </si>
  <si>
    <t xml:space="preserve">ГОТОВЫЙ ОФИС РЯДОМ С МЕТРО. ПЛАТИМ АГЕНТАМ! ПОМЕЩЕНИЕ С АРЕНДАТОРОМ. Продажа готового арендного бизнеса — 19,5 м2, г Москва, Орликов пер, д 3 стр 1. АРЕНДНЫЙ БИЗНЕС: — Арендный доход — 110 200 руб. в месяц. — Доходность 9%, окупаемость до 11.19 лет. Здание расположено в непосредственной близости от нескольких станций метро - Красные ворота, Комсомольская. О ПОМЕЩЕНИИ: На этаже есть общие зоны отдыха, кофе-поинт, переговорная, санузлы. — Один кабинет на этаже. — Выполнен качественный офисный ремо</t>
  </si>
  <si>
    <t xml:space="preserve">Орликов, 3С1</t>
  </si>
  <si>
    <t xml:space="preserve">Арт. 139437701 Продаётся готовый офис с арендатором (МАП 114000 руб), номер 408. Престижная локация, юридический адрес, отличная транспортная доступность. Готовые офисы продаются как с арендатором, так и без. Успейте купить недвижимость на Садовом кольце!</t>
  </si>
  <si>
    <t xml:space="preserve">ЗДАНИЕ ПОСЛЕ РЕМОНТА! ПЛАТИМ АГЕНТАМ. ПОМЕЩЕНИЕ С АРЕНДАТОРОМ. Продажа здания целиком — 7 290,5 м2, г Москва, ул 3-я Мытищинская, д 3 стр 1. АРЕНДНЫЙ БИЗНЕС: — Доходность 11%, окупаемость до 8.93 лет. Здание расположено в Северо-восточном административном округе в пешей доступности от метро Алексеевская, проспекта Мира и парка Сокольники. О ЗДАНИИ: Выполнен свежий ремонт, сформирована функциональная планировка. — Здание состоит из 10 полноценных этажей. — Земельный участок в долгосрочной аренде </t>
  </si>
  <si>
    <t xml:space="preserve">ЗДАНИЕ ПОСЛЕ РЕМОНТА! ПЛАТИМ АГЕНТАМ. ПОМЕЩЕНИЕ С АРЕНДАТОРОМ. Продажа здания целиком — 8 777,8 м2, г Москва, ул 3-я Мытищинская, д 3 стр 1. АРЕНДНЫЙ БИЗНЕС: — Доходность 11%, окупаемость до 8.93 лет. Здание расположено в Северо-восточном административном округе в пешей доступности от метро Алексеевская, проспекта Мира и парка Сокольники. О ЗДАНИИ: Основное здание, строение 1, состоит из 10 полноценных этажей, общая площадь - 7 290,2 м2. Дополняет его пристроенное с севера строение 16 площадью 1</t>
  </si>
  <si>
    <t xml:space="preserve">Миллионная, 11К1</t>
  </si>
  <si>
    <t xml:space="preserve">1084619 Предлагаем помещение свободного назначения с арендатором Даркстор "Самокат", площадью 231,4 кв. м., расположенное на первом этаже жилого дома. Без комиссии для покупателя. Преимущества объекта: -21 минута пешком от станции МЦК Белокаменная; -густонаселённый жилой массив; -развитая инфраструктура района; -сложившееся торговое окружение; -активный автомобильный и пешеходный трафик; -объект отлично просматривается, находится в легком доступе для клиентов; -открытая планировка; -место для вы</t>
  </si>
  <si>
    <t xml:space="preserve">Большая Сухаревская, 16/18С2</t>
  </si>
  <si>
    <t xml:space="preserve">818812 Предлагаем помещение свободного назначения с арендатором Стоматология "Оригами", площадью 82 кв. м., расположенное на 1 этаже и антресоли жилого дома. Без комиссии для покупателя. Преимущества объекта: -первая линия Садового кольца; -пешая доступность от станции метро Сухаревская (4 минуты пешком); -объект отлично просматривается, находится в легком доступе для клиентов; -развитая инфраструктура района; -надежный арендатор; -открытая планировка; -витринное остекление; -место для вывески; </t>
  </si>
  <si>
    <t xml:space="preserve">686840 Предлагаем помещение свободного назначения с арендатором Яндекс Лавка, площадью 515,7 кв. м., расположенное на первом этаже жилого дома в ЖК Лосиный остров. Без комиссии для покупателя. Преимущества объекта: -ЖК состоит из 7 корпусов, этажностью от 12 до 29 этажей; -25 минут пешком от станции метро Бульвар Рокоссовского; -густонаселённый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t>
  </si>
  <si>
    <t xml:space="preserve">Участок под девелопмент в сердце Армы. 358 м². Цена 65 млн руб. Потенциал — 650 м² нового строительства. Лот для профессионального инвестора или девелопера. Нижний Сусальный пер., д. 6, стр. 4. 5 минут пешком от м. Курская. Статус объекта: В собственности. Деревянное здание 1965 года (358 м²) в охранной зоне. Назначение — нежилое. Градостроительный потенциал (при успешном согласовании снос/реконструкция): Пятно застройки: сохранение или незначительное увеличение. Этажность: возможность воссоздан</t>
  </si>
  <si>
    <t xml:space="preserve">ПОМЕЩЕНИЕ С АРЕНДАТОРОМ. Продажа здания целиком — 1 214,3 м2, г Москва, ул Вольная, д 35 стр 8. АРЕНДНЫЙ БИЗНЕС: — Доходность 10%, окупаемость до 10.5 лет. О ЗДАНИИ: Трёхэтажное кирпичное здание без подвала, было капитально отремонтировано в 2022 году. Земельный участок площадью 1 179 м2, в аренде до 2075 года. — Высота потолков от 3 до 8 метров. — Выделенная на строение мощность составляет 149 кВт. — Блоки первого этажа имеют отдельные входы с улицы. — Планировка: открытая. — Дизайнерский ремон</t>
  </si>
  <si>
    <t xml:space="preserve">Волочаевская, 12АС1а</t>
  </si>
  <si>
    <t xml:space="preserve">ОКУПАЕМОСТЬ 7 ЛЕТ. ОБЪЕКТ НЕ ВХОДИТ В КРТ. ПОМЕЩЕНИЕ С АРЕНДАТОРОМ. Продажа здания целиком — 2 318 м2, г Москва, ул Волочаевская, д 12А стр 1А. АРЕНДНЫЙ БИЗНЕС: — Доходность 14%, окупаемость до 6.94 лет. О ЗДАНИИ: — В здании подвал, 2 этажа, антресоль. — Назначение - торговое, нежилое. — Высота потолков - 2-й этаж - 3, 90 м. — 1-й этаж - 3, 90 м. — цоколь - 2, 90 м. — Выделенная мощность - 275 квт. — Лифт грузоподъемностью - 1 тонна. — Есть пандус для разгрузки. — Планировка: смешанная. — Типово</t>
  </si>
  <si>
    <t xml:space="preserve">Просвирин, 15</t>
  </si>
  <si>
    <t xml:space="preserve">ЭКСКЛЮЗИВ. АГЕНТАМ ПЛАТИМ. ПОМЕЩЕНИЕ С АРЕНДАТОРОМ. Продажа готового арендного бизнеса — 189 м2, г Москва, Просвирин пер, д 15. АРЕНДНЫЙ БИЗНЕС: — Арендный доход — 370 000 руб. в месяц. — Доходность 7%, окупаемость до 13.51 лет. О ПОМЕЩЕНИИ: Помещение в высоком цоколе с окнами и хорошим ремонтом. Все центральные коммуникации подключены, выделенная мощность 15 кВт с возможностью увеличения. — Отдельный вход со двора. — Планировка: кабинетная. — Офисная отделка. — Высота потолков: 3 м. ЗДАНИЕ И ТЕ</t>
  </si>
  <si>
    <t xml:space="preserve">1167243 Предлагаем помещение свободного назначения с офисным арендатором, площадью 181,9 кв. м., расположенное на первом этаже жилого дома в центре Москвы. Без комиссии для покупателя. Преимущества объекта: -4 минуты пешком от станций метро Тургеневская и Сретенский бульвар; -сложившееся торговое окружение; -сверхинтенсивный автомобильный и пешеходный трафик; -объект отлично просматривается, находится в лёгком доступе для клиентов; -кабинетная планировка с офисной отделкой; -по документам это цо</t>
  </si>
  <si>
    <t xml:space="preserve">Нижняя Сыромятническая, 1/4с27</t>
  </si>
  <si>
    <t xml:space="preserve">Продается помещение свободного назначения с 2 ОТДЕЛЬНЫМИ входами с улицы, также есть вход со двора. Целиком административное здание 3 этажа + подвал + мансарда, в 8 мин. от метро Чкаловская. ГАБ. Помещение сдано в аренду и приносит стабильный доход, окупаемость с учетом индексации около 8 лет. Обременений нет. Свободный доступ 24/7, свои с/у и мокрые точки, мебель обсуждаема. Электрическая мощность 180 кВт, высота потолков около 3м. Юридический адрес предоставляется. Здание является домом культу</t>
  </si>
  <si>
    <t xml:space="preserve">Милютинский, 18А</t>
  </si>
  <si>
    <t xml:space="preserve">ID объявления: 600176 В продаже здание особняка на Чистых прудах, который идеально подойдет для резиденции компании, офисного центра, выставочного пространства и других административных целей. К продаже предлагается уединенный особняк с прилегающей территорией в Милютинском переулке. Здание расположено в 5 минутах пешком от станций метро "Чистые пруды" и "Тургеневская" и в 10-15 минутах от "Лубянки", "Кузнецкого моста", "Трубной" и "Цветного бульвара". Общая площадь особняка 3 299,8 м² (этажи 1—</t>
  </si>
  <si>
    <t xml:space="preserve">Мясницкая, 24/7С8</t>
  </si>
  <si>
    <t xml:space="preserve">ПОМЕЩЕНИЕ С АРЕНДАТОРОМ. Продажа здания целиком — 199 м2, г Москва, ул Мясницкая, д 24/7 стр 8. АРЕНДНЫЙ БИЗНЕС: — Доходность 5%, окупаемость до 21.78 лет. Станции метро Чистые пруды, Тургеневская и Сретенский бульвар расположены в пешей доступности. О ЗДАНИИ: Здание состоит из 1 этажа - 119 м2 и антресоли - 80,4 м2. — Электрическая мощность - 90 кВт. — Планировка: открытая. — Дизайнерский ремонт. — Высота потолков: 3.2 м. РАСПОЛОЖЕНИЕ И ОСНАЩЕНИЕ: Административное здание расположено в центре Мо</t>
  </si>
  <si>
    <t xml:space="preserve">Ивантеевская, 3К3</t>
  </si>
  <si>
    <t xml:space="preserve">1003397 Предлагается к продаже готовый арендный бизнес — коммерческое помещение площадью 300 м² в оживлённом спальном районе, в десяти минутах пешком от метро "Бульвар Рокоссовского". Локация с устойчивым повседневным спросом обеспечивает стабильный пешеходный трафик и удобную логистику для покупателей и персонала, что напрямую поддерживает операционную стабильность объекта. На площади успешно работает якорный арендатор — продуктовый магазин "Магнит" (АО "Тандер"). Присутствие федерального ритей</t>
  </si>
  <si>
    <t xml:space="preserve">Арт. 114771909 Коммерческое помещение с арендатором Магнит в Москве, Ивантеевская ул., 3К3 Окупаемость 10 лет! Локация: Метро "Бульвар Рокоссовского" в пешей доступности; Интенсивный пешеходный и автомобильный трафик; Хорошо просматривается со стороны проезжей части и соседних зданий; Широкий тротуар; Парковка для автомобилей; Помещение: Площадь 298 м2 1 этаж жилого дома Отдельный вход Витринные окна Ровная прямоугольная форма, удобная планировка Арендатор: "Магнит" ДДА на 7 лет. Цена: 60 млн. р</t>
  </si>
  <si>
    <t xml:space="preserve">Тюменский, 3к5</t>
  </si>
  <si>
    <t xml:space="preserve">1239804 Предлагаем помещение свободного назначения с арендаторами ПBЗ Вайлдберриз, кафе "Вкусно" и постамат, площадью 110,9 кв. м., расположенное на первом этаже жилого дома в ЖК "Преображение". Без комиссии для покупателя. Преимущества объекта: -первая линия; -комплекс состоит из 11 корпусов переменной этажности (от 7 до 31 этажей); -10 минут пешком от станции метро Бульвар Рокоссовского; -выезд на МСД и Щелковское шоссе, Открытое шоссе; -густонаселённый жилой район; -сложившееся торговое окруж</t>
  </si>
  <si>
    <t xml:space="preserve">Тюменский, 3к3</t>
  </si>
  <si>
    <t xml:space="preserve">Арт. 113770863 Готовый арендный бизнес в Москве, проезд Тюменский, дом 3, корпус 3. Сетевые арендаторы: аптека Ригла, Wildberries! О помещении: общая площадь 163.5 м2 1 этаж встроенно-пристроенное помещение к жилому дому эл. мощность 50 кВт высота потолков 4.5 м витринные окна 2 входа открытая планировка Локация: ЖК бизнес-класса "Преображение" Насыщенное торговое окружение Интенсивный пешеходный трафик Помещение находится в центре ЖК 6 мин пешком от метро Б-р Рокоссовского Арендаторы: аптека Ри</t>
  </si>
  <si>
    <t xml:space="preserve">3-й Самотечный, 11С1</t>
  </si>
  <si>
    <t xml:space="preserve">Тверской</t>
  </si>
  <si>
    <t xml:space="preserve">ПОМЕЩЕНИЕ С АРЕНДАТОРОМ. Продажа здания целиком — 2 442,7 м2, г Москва, 3-й Самотёчный пер, д 11 стр 1. АРЕНДНЫЙ БИЗНЕС: — Доходность 7%, окупаемость до 13.98 лет. О ЗДАНИИ: 2 и 3 этажи - офисные помещения, есть выделенная зона руководства. — Целиком 3 этажа и подвал. — На 1 этаже и в подвале находится продуктовый магазин. — Земельный участок 1 900 м2 в долгосрочной аренде. — Планировка: смешанная. — Типовой ремонт. РАСПОЛОЖЕНИЕ И ОСНАЩЕНИЕ: Трёхэтажное административное здание расположено в шаго</t>
  </si>
  <si>
    <t xml:space="preserve">Покровский, 16С5</t>
  </si>
  <si>
    <t xml:space="preserve">ПОМЕЩЕНИЕ С АРЕНДАТОРОМ. Продажа здания целиком — 524 м2, г Москва, Покровский б-р, д 16 стр 5. АРЕНДНЫЙ БИЗНЕС: — Доходность 8%, окупаемость до 12.48 лет. Ближайшие станции метро Китай-Город и Чкаловская находятся в 900 метрах. О ЗДАНИИ: Возможно многофункциональное использование объекта под банк, ресторан, отель, медицинский центр или представительский офис. — В здании подвал, первый этаж и мансарда. — Перекрытия железобетонные. — Высота потолков от 2,7 до 3,25 м. — Электрическая мощность 141 </t>
  </si>
  <si>
    <t xml:space="preserve">Мясницкая, 7С10</t>
  </si>
  <si>
    <t xml:space="preserve">5766 Предлагаем торговое помещение с надежными арендаторами Ресторан и Магазин одежды, площадью 222.1 кв. м., расположенное на первом этаже административного здания. Красносельский район, ЦАО Москвы. Без комиссии для покупателя. Преимущества объекта: -первая линия; -400 метров от станции метро Лубянка; -центр плотного жилого массива; -развитая инфраструктура района; -локация с большим количеством достопримечательностей; -объект отлично просматривается, находится в легком доступе для клиентов; -с</t>
  </si>
  <si>
    <t xml:space="preserve">Сергия Радонежского, 9С1</t>
  </si>
  <si>
    <t xml:space="preserve">Таганский</t>
  </si>
  <si>
    <t xml:space="preserve">Арт. 124854664 К продаже предлагается отдельно стоящее здание с собственной территорией! Ст. метро Римская, 4 минуты пешком. Ул. Сергия Радонежского, д.9 Особняк является частью исторической застройки Москвы и расположен на первой линии улицы, с интенсивным автомобильным и умеренным пешеходным трафиком. Полная Реставрация Особняка - 2022г. Общая площадь особняка - 450 кВ.м Планировочное пространство предполагает: 1 этаж площадью - 171,5 кв.м 2 этаж площадью - 238,5 кв.м и подвал площадью - 40 кв</t>
  </si>
  <si>
    <t xml:space="preserve">Энтузиастов, 38к25</t>
  </si>
  <si>
    <t xml:space="preserve">Перово</t>
  </si>
  <si>
    <t xml:space="preserve">Лот 1161889 Предложение от Собственника! К продаже предлагается офисный особняк общей площадью 2018,5 кв.м в Восточном административном округе Москвы. Здание характеризуется высокими потолками, большим количеством окон и светлыми помещениями. На втором этаже выполнен качественный ремонт в стиле лофт, первый и третий этажи требуют проведения отделочных работ. Здание расположено на охраняемой территории. Есть наземная парковка. Объект подходит под размещения штаб-квартиры компании, а также как инв</t>
  </si>
  <si>
    <t xml:space="preserve">Долгоруковская, 21С1</t>
  </si>
  <si>
    <t xml:space="preserve">ГОТОВЫЙ АРЕНДНЫЙ БИЗНЕС СО СТАБИЛЬНЫМ АРЕНДАТОРОМ. ПЛАТИМ АГЕНТАМ. ПОМЕЩЕНИЕ С АРЕНДАТОРОМ. Продажа здания целиком — 2 100 м2, г Москва, ул Долгоруковская, д 21 стр 1. АРЕНДНЫЙ БИЗНЕС: — Доходность 13%, окупаемость до 7.73 лет. О ЗДАНИИ: — В здании 5 этажей и подвал. — Рассчитан до 400 рабочих места. — Есть летняя терраса на крыше. — Выполнен новый современный ремонт. — Все инженерные системы новые. — Земельный участок 443 м2 в собственности. — Мощность электроснабжения - 220 кВт. — Планировка: </t>
  </si>
  <si>
    <t xml:space="preserve">Рабочая, 93С2</t>
  </si>
  <si>
    <t xml:space="preserve">ОГРОМНЫЙ ПОТЕНЦИАЛ РАЗВИТИЯ ОБЪЕКТА! ПЛАТИМ БОНУС. ПОМЕЩЕНИЕ С АРЕНДАТОРОМ. Продажа здания целиком — 13 540 м2, г Москва, ул Рабочая, д 93 стр 2. АРЕНДНЫЙ БИЗНЕС: — Доходность 15%, окупаемость до 6.67 лет. Бизнес-центр расположен рядом с ТТК в шаговой доступности от метро Площадь Ильича и Римская. О ЗДАНИИ: Офисный центр включает два корпуса и вспомогательные строения. — Общая площадь - 13 540 м2. — Корпус 1 - 2 050 м2. — Корпус 2 - 11 310 м2. — Площадь типового этажа - 1 405 - 3 600 м2. — Земля</t>
  </si>
  <si>
    <t xml:space="preserve">Балчуг Резиденс, КВ</t>
  </si>
  <si>
    <t xml:space="preserve">Замоскворечье</t>
  </si>
  <si>
    <t xml:space="preserve">ЗДАНИЕ ЦЕЛИКОМ В ЦЕНТРЕ БАЛЧУГА! ПЛАТИМ АГЕНТАМ. ПОМЕЩЕНИЕ С АРЕНДАТОРОМ. Продажа здания целиком — 869,4 м2, г Москва, ул Садовническая, д 29. АРЕНДНЫЙ БИЗНЕС: — Доходность 6%, окупаемость до 15.62 лет. Здание расположено в шаговой доступности от метро и входит в состав многофункционального комплекса Balchug Residence. О ЗДАНИИ: — Здание входит в состав ЖК BALCHUG RESIDENCE. — Два отдельных входа - с улицы и со двора. — Выделенная электрическая мощность 123 кВт. — Планировка: смешанная. — Типово</t>
  </si>
  <si>
    <t xml:space="preserve">Складочная, 1С15</t>
  </si>
  <si>
    <t xml:space="preserve">Бутырский</t>
  </si>
  <si>
    <t xml:space="preserve">НИЗКАЯ СТОИМОСТЬ КВАДРАТНОГО МЕТРА! ПЛАТИМ БОНУС. ПОМЕЩЕНИЕ С АРЕНДАТОРОМ. Продажа здания целиком — 7 367,9 м2, г Москва, ул Складочная, д 1 стр 15. АРЕНДНЫЙ БИЗНЕС: — Доходность 13%, окупаемость до 7.81 лет. О ЗДАНИИ: Площадь земельного участка - 3 749 м2, в долгосрочной аренде до 2071 года. — В здании есть зона погрузки, оборудована пандусами. — Мощность электроснабжения - до 600 кВт, с 2 вводами. — Планировка: смешанная. — Типовой ремонт. — Высота потолков: 3.5 м. — Парковочных мест: 80. РАСП</t>
  </si>
  <si>
    <t xml:space="preserve">Добролюбова, 2БС1</t>
  </si>
  <si>
    <t xml:space="preserve">ГОТОВЫЙ АРЕНДНЫЙ БИЗНЕС. ПЛАТИМ БОНУС. ПОМЕЩЕНИЕ С АРЕНДАТОРОМ. Продажа здания целиком — 3 063,5 м2, г Москва, ул Добролюбова, д 2Б стр 1. АРЕНДНЫЙ БИЗНЕС: — Доходность 10%, окупаемость до 9.6 лет. Комплекс расположен недалеко от станций метро Дмитровская, Бутырская. О ЗДАНИИ: — Строение 1. — 1 этаж - 2 495 м2. — 2 этаж - 503,6 м2. — Антресоль - 64,8 м2. — Высота потолков достигает до 7 м. — Мощность электроснабжения - 161 кВт. — Площадь земельного участка - 8 701 м2. — Планировка: смешанная. — </t>
  </si>
  <si>
    <t xml:space="preserve">ГОТОВЫЙ АРЕНДНЫЙ БИЗНЕС. ПЛАТИМ БОНУС. ПОМЕЩЕНИЕ С АРЕНДАТОРОМ. Продажа здания целиком — 4 847,7 м2, г Москва, ул Добролюбова, д 2Б стр 1. АРЕНДНЫЙ БИЗНЕС: — Доходность 13%, окупаемость до 7.89 лет. Комплекс расположен недалеко от станций метро Дмитровская, Бутырская. О ЗДАНИИ: — Комплекс зданий, состоит из нескольких строений. — Строение 1 - 3 063,5 м2. — Строение 2 - 245,5 м2. — Строение 3 - 712,1 м2. — Строение 4 - 826,6 м2. — Земельный участок - 0.9 Га в аренде. — Мощность - 256 кВт. — Плани</t>
  </si>
  <si>
    <t xml:space="preserve">Садовническая, 29</t>
  </si>
  <si>
    <t xml:space="preserve">ГОТОВЫЙ АРЕНДНЫЙ БИЗНЕС. Особняк с арендатором на Раушской набережной. Продажа отдельно стоящего здания, входящего в состав престижного жилого комплекса "Балчуг Резиденс". Здание расположено на первой линии Раушской набережной, что обеспечивает высокий рекламный потенциал, а также высокий автомобильный и пешеходный трафик Архитектурные особенности здания включают в себя наличие зоны погрузки-разгрузки, а также собственного лифта, обеспечивающего удобный доступ из подземного паркинга. Открытая пл</t>
  </si>
  <si>
    <t xml:space="preserve">Докукина, 6</t>
  </si>
  <si>
    <t xml:space="preserve">Ростокино</t>
  </si>
  <si>
    <t xml:space="preserve">Прямой представитель собственника!!! К продаже готовы- условия обсуждаются!!! Подарок Покупателю и Бонус коллегам! Продается 3-х этажное Здание!!! Гостиница площадью 2542,4 кв м офисно-гостиничного типа с еврохимчисткой в цокольном этаже, полноценное кафе с оборудованием для приготовления и хранения пищи, мангальная зона, свободное помещение с 2-мя отдельными входами, офисные помещения, гостиница с 47 номерами различного типа, зона ресепшен! Высокие потолки 4-7 м ! Здание по периметру имеет 4 от</t>
  </si>
  <si>
    <t xml:space="preserve">Таганская, 12С5</t>
  </si>
  <si>
    <t xml:space="preserve">НАДЁЖНЫЙ АРЕНДАТОР! ПЛАТИМ БОНУС. ПОМЕЩЕНИЕ С АРЕНДАТОРОМ. Продажа здания целиком — 4 350 м2, г Москва, Таганская пл, д 12 стр 5. АРЕНДНЫЙ БИЗНЕС: — Торговый центр с долгосрочными арендаторами, с возможностью расторжения. — Доходность 13%, окупаемость до 7.98 лет. О ЗДАНИИ: Здание с закрытой наземной парковкой на заднем дворе подключено ко всем городским коммуникациям. Площадь земельных участков - 1 269 м2, 271 м2 и 140 м2. — Мощность электроснабжения - 700 кВт. — Планировка: смешанная. — Дизайн</t>
  </si>
  <si>
    <t xml:space="preserve">Добролюбова, 2Бс5</t>
  </si>
  <si>
    <t xml:space="preserve">СТАБИЛЬНЫЙ ГАБ С НАДЕЖНЫМ АРЕНДАТОРОМ. ПЛАТИМ БОНУС. ПОМЕЩЕНИЕ С АРЕНДАТОРОМ. Продажа здания целиком — 2 440 м2, г Москва, ул Добролюбова, д 2Б стр 5. АРЕНДНЫЙ БИЗНЕС: — Помещение полностью занято арендатором, договор аренды действует до 14.04.2030 года с ежегодной индексацией. — Доходность 11%, окупаемость до 9.43 лет. Складской объект расположен недалеко от станций метро Бутырская и Дмитровская. О ЗДАНИИ: Складской объект включает первый этаж и антресоль, функционально используется под склад и</t>
  </si>
  <si>
    <t xml:space="preserve">Садовническая, 9</t>
  </si>
  <si>
    <t xml:space="preserve">ЗДАНИЕ С ТЕРРАСОЙ НА БЕРЕГУ РЕКИ! ПЛАТИМ БОНУС! ПОМЕЩЕНИЕ С АРЕНДАТОРОМ. Продажа здания целиком — 3 085,9 м2, г Москва, Садовническая наб, д 9. АРЕНДНЫЙ БИЗНЕС: — Доходность 4%, окупаемость до 22.25 лет. О ЗДАНИИ: Светлые помещения за счет большого количества окон с видом на набережную реки. Внутреннее пространство более чем на 500 рабочих мест дополняют пять переговорных комнат, конференц-зал и ресторан. — Мощность электроснабжения - 670 кВт. — Площадь земельного участка - 1 035 м2. — Планировк</t>
  </si>
  <si>
    <t xml:space="preserve">Бутырский Вал, 68</t>
  </si>
  <si>
    <t xml:space="preserve">НИЗКАЯ СТОИМОСТЬ М2! ПЛАТИМ БОНУС. ПОМЕЩЕНИЕ С АРЕНДАТОРОМ. Продажа здания целиком — 3 306,1 м2, г Москва, ул Бутырский Вал, д 68. АРЕНДНЫЙ БИЗНЕС: — Доходность 10%, окупаемость до 10.06 лет. О ЗДАНИИ: Центральный вход с первой линии, со стороны Бутырского вала. ВРИ - эксплуатации части здания под административные цели. — Обособленная часть здания. — Целиком 6 этажей и подвал. — Запасной выход со двора. — Земельный участок - 1 172 м2, в аренде. — Площадь застройки - 1 121 м2. — Мощность электрос</t>
  </si>
  <si>
    <t xml:space="preserve">Садовническая, 84С7</t>
  </si>
  <si>
    <t xml:space="preserve">Повышенная комиссия для брокеров! Комплекс из двух двухэтажных особняков с летней верандой на первой линии Садового кольца в 520 м от метро Павелецкая, с разрешенными видами деятельности под общепит и торговлю, ранее был ресторан, оборудование все осталось, есть 3 наземных машиноместа. Особняк общей площадью 1 184,3 м2 на первой линии Садового кольца, с узаконенной летней верандой! По ЕГРН - 2 строения, физически - единое здание. Не памятник архитектуры! Высокий рекламный потенциал, возможность </t>
  </si>
  <si>
    <t xml:space="preserve">4-й Вятский, 22А</t>
  </si>
  <si>
    <t xml:space="preserve">Савеловский</t>
  </si>
  <si>
    <t xml:space="preserve">ПЛАТИМ БОНУСЫ ПОМЕЩЕНИЕ С АРЕНДАТОРОМ. Продажа здания целиком — 988 м2, г Москва, 4-й Вятский пер, д 22А стр 1. АРЕНДНЫЙ БИЗНЕС: — Доходность 7%, окупаемость до 14.11 лет. О ЗДАНИИ: Здание для размещение объектов дошкольного, начального, общего и среднего образования. — Мощность - 85 кВт. — Площадь земельного участка - 4 790 м2. — Планировка: кабинетная. — Типовой ремонт. — Подходит под: учебные цели. РАСПОЛОЖЕНИЕ И ОСНАЩЕНИЕ: — Класс здания — B. — Административное здание в Савёловском районе. —</t>
  </si>
  <si>
    <t xml:space="preserve">Ботаническая, 29Ак3</t>
  </si>
  <si>
    <t xml:space="preserve">Марфино</t>
  </si>
  <si>
    <t xml:space="preserve">СОВРЕМЕННЫЙ СПА С ВИДОМ НА ОРАНЖЕРЕЮ! ПЛАТИМ БОНУС. ПОМЕЩЕНИЕ С АРЕНДАТОРОМ. Продажа здания целиком — 1 342,5 м2, г Москва, ул Ботаническая, д 29А к 3. АРЕНДНЫЙ БИЗНЕС: — Доходность 10%, окупаемость до 10.42 лет. Удобная транспортная доступность, прямой выезд на Дмитровское и Алтуфьевское шоссе, 15 минут до ТТК и проспекта Мира, 3 станции метро в пешей доступности. О ЗДАНИИ: 6 бассейнов, включая крытый бассейн 25 метров с гидромассажем, аэромассажем, 9 парных и хаммамов, 2 джакузи с минеральной </t>
  </si>
  <si>
    <t xml:space="preserve">Уральская, 1А</t>
  </si>
  <si>
    <t xml:space="preserve">Гольяново</t>
  </si>
  <si>
    <t xml:space="preserve">Объект полностью заполнен арендаторами. Ключевой блок на 1 этаже занимает Альфа-Банк — федеральный арендатор с долгосрочным договором. Оставшиеся площади — стабильная розница с потенциалом ротации и роста ставок. Инвестиционные показатели: Стоимость: 726 000 000 ₽ с НДС Ставка: 275 302 ₽ / м² Арендный поток: ~10 500 000 ₽ / месяц Доходность: от 13,8% годовых Окупаемость: 7,2 года (с учётом арендных каникул) Для сравнения: средняя окупаемость аналогичных активов на рынке Москвы составляет 910 лет</t>
  </si>
  <si>
    <t xml:space="preserve">Дмитровское, 21А</t>
  </si>
  <si>
    <t xml:space="preserve">Тимирязевский</t>
  </si>
  <si>
    <t xml:space="preserve">ПОМЕЩЕНИЕ С АРЕНДАТОРОМ. Продажа здания целиком — 835 м2, г Москва, Дмитровское шоссе, д 21А. АРЕНДНЫЙ БИЗНЕС: — Доходность 7%, окупаемость до 13.75 лет. Здание имеет выгодное расположение - всего в 600 метрах от станций метро и МЦД Тимирязевская, что обеспечивает отличную транспортную доступность. О ЗДАНИИ: Здание оснащено централизованными коммуникациями - водопроводом, канализацией, отоплением от ТЭЦ и горячим водоснабжением. Электроснабжение осуществляется от сети 220В с выделенной мощностью</t>
  </si>
  <si>
    <t xml:space="preserve">Верхняя Первомайская, 71А</t>
  </si>
  <si>
    <t xml:space="preserve">Восточное Измайлово</t>
  </si>
  <si>
    <t xml:space="preserve">Готовый арендный бизнес, ул. Верхняя Первомайская, д. 71А (м. Первомайская, ВАО) Объект: отдельно стоящее нежилое здание, 3 этажа, включая подвал, общей площадью 904,6 м², 1963 год строительства. Земля: аренда у ДГИ Москвы до 2073 года (ВРИ 4.1), участок 1538 м². Инженерия: электричество 150 кВт, ХВС/ВО — МВК; теплоснабжение от МОЭК на стадии подключения (срок 46 мес.). Якорные арендаторы: ООО Агроторг (Пятёрочка) — 334 м², договор до ~2036 г. АО Вкусвилл (даркстор) — 229,8 м², договор до ~2031 </t>
  </si>
  <si>
    <t xml:space="preserve">Березовая, 4А</t>
  </si>
  <si>
    <t xml:space="preserve">Отрадное</t>
  </si>
  <si>
    <t xml:space="preserve">Продается двухэтажное нежилое здание (готовый арендный бизнес) на первой линии с высоким автомобильным трафиком. Общая площадь: 929,4 кв.м. ЗУ площадью 1000 кв.м. в аренде до 2053 г. На территории 12 м/м Арендатор 1ый этаж: Сетевой автосервис Большой Кореец Арендатор 2ой этаж: Даркстор OZON fresh Месячная аренда 2,5 млн руб. Годовая аренда 30 млн руб. Окупаемость 7,5 лет. Оперативный показ и выход на сделку без посредников.</t>
  </si>
  <si>
    <t xml:space="preserve">Ленинская Слобода, 26С3</t>
  </si>
  <si>
    <t xml:space="preserve">Даниловский</t>
  </si>
  <si>
    <t xml:space="preserve">ПОМЕЩЕНИЕ С АРЕНДАТОРОМ. Продажа здания целиком — 6 899 м2, г Москва, ул Ленинская Слобода, д 26 стр 3. АРЕНДНЫЙ БИЗНЕС: — Доходность 6%, окупаемость до 15.92 лет. О ЗДАНИИ: — Два отдельных входа. — Витринное остекление. — Высота потолков от 3 до 8 м. — Парковка на прилегающей территории. — Планировка: смешанная. — Дизайнерский ремонт. — Лофт. — Высота потолков: 5 м. — Парковочных мест: 60. РАСПОЛОЖЕНИЕ И ОСНАЩЕНИЕ: БЦ входит в состав Делового квартала Симоновский, расположен в пределах Третьего</t>
  </si>
  <si>
    <t xml:space="preserve">Павловская, 18С2</t>
  </si>
  <si>
    <t xml:space="preserve">КРТ! ПЛАТИМ АГЕНТАМ. ПОМЕЩЕНИЕ С АРЕНДАТОРОМ. Продажа здания целиком — 4 214,4 м2, г Москва, ул Павловская, д 18 стр 2. АРЕНДНЫЙ БИЗНЕС: — Торговая галерея на 1 этаже с сетевыми арендаторами. — Доходность 8%, окупаемость до 12.92 лет. О ЗДАНИИ: — Арендопригодная площадь здания - 3 750 м2. — Земельный участок у здания в аренде. — Произведен капитальный ремонт крыши. — Зона ресепшен, круглосуточная охрана. — Нагрузка на перекрытия 1 100 кг-м2. — Электрическая мощность - 2 МВт. — Планировка: кабине</t>
  </si>
  <si>
    <t xml:space="preserve">Городская, 8</t>
  </si>
  <si>
    <t xml:space="preserve">ПОМЕЩЕНИЕ С АРЕНДАТОРОМ. Продажа здания целиком — 9 454,9 м2, г Москва, ул Городская, д 8. АРЕНДНЫЙ БИЗНЕС: — Доходность 7%, окупаемость до 15 лет. Административное здание расположено недалеко от метро Тульская, Шаболовская. О ЗДАНИИ: Выделенной мощности 700 кВт. 3 пассажирских и 1 грузовой лифт. Земельный участок площадью 3 948 м2 в долгосрочной аренде от 06.02.1998 г. на 49 лет. — Площадь типового этажа - 750 м2. — Планировка: смешанная. — Типовой ремонт. — Подходит под: медцентр. — Высота пот</t>
  </si>
  <si>
    <t xml:space="preserve">Жигулевская, 4К1</t>
  </si>
  <si>
    <t xml:space="preserve">Кузьминки</t>
  </si>
  <si>
    <t xml:space="preserve">! - ШИКАРНАЯ ИНВЕСТИЦИЯ. Возможна сдача в аренду! Цена по рынку от 36 000 до 40 000 в мес + ком.платежи + каждый год индексация(увеличение). ОКУПАЕМОСТЬ 5,5 лет! При аренде квартиры, что бы получать такую ежемесячную сумму вложить нужно будет 8 - 10 000 000 руб., а здесь инвестиция всего 4 100 000. АППЕТИТНАЯ ЦЕНА, из-за СРОЧНОСТИ ПРОДАЖИ - ! При покупке пoмещения дизaйн-пpoeкт в пoдapок! Располагается нa "-1" Цокольном этаже. С полнoцeнным oкнoм, что является редким преимуществом для цокольных </t>
  </si>
  <si>
    <t xml:space="preserve">Черепановых, 29</t>
  </si>
  <si>
    <t xml:space="preserve">Головинский</t>
  </si>
  <si>
    <t xml:space="preserve">Лот k18538. Продается ОСЗ в арендатором по адресу проезд Черепановых, дом 29, в нескольких минутах пешком от выхода со станций МЦК и МЦД-3 Лихоборы. Продажа отдельностоящего 3-этажного административного здания с подвалом общей площадью 1848,8 кв.м. Здание занято арендатором-хостелом. В 50 метрах выход со станции МЦД-3 Лихоборы и в 100 метрах выход со станции МЦК Лихоборы. Здание также выходит на трассу Северо-Восточной автомобильной хорды. Имеется собственная закрытая охраняемая территория с соб</t>
  </si>
  <si>
    <t xml:space="preserve">Юго-Восточный, Волжский Бульвар 113А, к1</t>
  </si>
  <si>
    <t xml:space="preserve">СТАБИЛЬНЫЙ ГОТОВЫЙ АРЕНДНЫЙ БИЗНЕС! ПЛАТИМ БОНУС. ПОМЕЩЕНИЕ С АРЕНДАТОРОМ. Продажа здания целиком — 4 863,4 м2, г Москва, кв-л 113а Волжский Бульвар, к 1. АРЕНДНЫЙ БИЗНЕС: — Трёхуровневый торговый центр с двумя наземными и цокольным этажом включает в себя 3 901 м2 арендопригодной площади, целиком заселённой надёжными арендаторами. — Доходность 12%, окупаемость до 8.43 лет. О ЗДАНИИ: Площадь земельного участка - 4 016 м2 в долгосрочной аренде рассчитан на 40 машино-мест для посетителей. Фасад зда</t>
  </si>
  <si>
    <t xml:space="preserve">Широкая, 27</t>
  </si>
  <si>
    <t xml:space="preserve">Северное Медведково</t>
  </si>
  <si>
    <t xml:space="preserve">Продается 1-но этажное ОСЗ площадью 1047 кв.м., рядом со зданием расположена открытая площадка площадью 1000 кв.м. взятая в аренду у города на 30 лет. Всё здание сейчас занимают 7 арендаторов, окупаемость помещения 14 лет. У каждого арендатора отдельные входы, электричество 250 кВт, здание подключено к центральному отоплению, канализации и водопроводу, есть стихийная парковка.</t>
  </si>
  <si>
    <t xml:space="preserve">Высоковольтный, 1С24</t>
  </si>
  <si>
    <t xml:space="preserve">ПОМЕЩЕНИЕ С АРЕНДАТОРОМ. Продажа здания целиком — 990 м2, г Москва, Высоковольтный проезд, д 1 стр 24. АРЕНДНЫЙ БИЗНЕС: — Доходность 12%, окупаемость до 8.06 лет. О ЗДАНИИ: Обособленная часть здания 840 м2 с дополнительной пристройкой 150 м2. Земельный участок 0,17 Га в долгосрочной аренде на 49 лет с 2005 года. — Планировка: кабинетная. — Типовой ремонт. — Парковочных мест: 20. РАСПОЛОЖЕНИЕ И ОСНАЩЕНИЕ: Здание расположено на собственной охраняемой территории. Благоустроенная охраняемая территор</t>
  </si>
  <si>
    <t xml:space="preserve">Пришвина, 26</t>
  </si>
  <si>
    <t xml:space="preserve">Бибирево</t>
  </si>
  <si>
    <t xml:space="preserve">УЧАСТОК 2.6 Га! ПЛАТИМ БОНУС. ПОМЕЩЕНИЕ С АРЕНДАТОРОМ. Продажа здания целиком — 26 270,4 м2, г Москва, ул Пришвина, д 26. АРЕНДНЫЙ БИЗНЕС: — Доходность 11%, окупаемость до 8.71 лет. Удачное расположение между МКАД и ТТК, а метро - в 130 метрах, что даёт стабильный пешеходный трафик. О ЗДАНИИ: Торговый центр по продаже строительных и отделочных материалов с мощность электроснабжения - 2 549,2 кВт. Земельный участок 26 695 м2 с возможностью реализации проекта жилого девелопмента. — Общая площадь -</t>
  </si>
  <si>
    <t xml:space="preserve">Юго-Восточный</t>
  </si>
  <si>
    <t xml:space="preserve">Текстильщики</t>
  </si>
  <si>
    <t xml:space="preserve">Закрытая продажа готового арендного бизнеса: торговое здание 1 700 м² в большом жилом массиве на юго-востоке Москвы. Цена: 173 000 000 ₽ МАП 2 300 500 ₽, ГАП 29,4 млн ₽, доходность 11,8%, окупаемость 8,5 лет Арендаторы: два федеральных продуктовых сетевых арендатора (договор на 10 лет), хостел. Индексация 57% по всем договорам Ставка продуктовой сети ниже рынка, есть потенциал роста МАП Земля в аренде, возможен выкуп у города Адрес, презентация и расчёт расходов после звонка и подписания NDA.</t>
  </si>
  <si>
    <t xml:space="preserve">Мневники, 7К1</t>
  </si>
  <si>
    <t xml:space="preserve">Хорошево-Мневники</t>
  </si>
  <si>
    <t xml:space="preserve">Продаётся торговое здание с готовым арендным бизнесом. Продажа от юридического лица. Площадь здания 1227 м². Электрическая мощность 70 кВт. Заключены договора с МОЭК, МОЭСК, Мосводоканал. Рядом метро Народное ополчение. Плотная многоэтажная застройка. Первая линия. На здании есть место под рекламу. Зона разгрузки. Проходное место. Все арендные площади заняты арендаторами - Чижик, Мосцветторг. Подвал так же сдан частным арендаторам. Ежемесячная выручка - 1400000 руб. Средний расход обслуживания -</t>
  </si>
  <si>
    <t xml:space="preserve">Варшавское, 26</t>
  </si>
  <si>
    <t xml:space="preserve">Нагорный</t>
  </si>
  <si>
    <t xml:space="preserve">ЗДАНИЕ НА ВЫХОДЕ ИЗ МЕТРО! ПЛАТИМ БОНУС. ПОМЕЩЕНИЕ С АРЕНДАТОРОМ. Продажа здания целиком — 23 180,1 м2, г Москва, Варшавское шоссе, д 26. АРЕНДНЫЙ БИЗНЕС: — Доходность 8%, окупаемость до 13.2 лет. О ЗДАНИИ: Здание с функциональной планировкой и качественным ремонтом дополняет просторное лобби и благоустроенная прилегающая территория. В 2008 в году была произведена глобальная реконструкция. Внутри и снаружи здания есть вся необходимая инфраструктура. Земельный участок 7 408 м2 оформлен в долгосро</t>
  </si>
  <si>
    <t xml:space="preserve">Шверника, 11</t>
  </si>
  <si>
    <t xml:space="preserve">Академический</t>
  </si>
  <si>
    <t xml:space="preserve">ОТДЕЛКА ПОД СПОРТИВНЫЙ ЦЕНТР. ПЛАТИМ АГЕНТАМ. ПОМЕЩЕНИЕ С АРЕНДАТОРОМ. Продажа здания целиком — 2 320 м2, г Москва, ул Шверника, д 11. АРЕНДНЫЙ БИЗНЕС: — Доходность 6%, окупаемость до 16.67 лет. О ЗДАНИИ: Площадь земельного участка в долгосрочной аренде - 900 м2. — Мощность электроснабжения - 230 кВт. — Планировка: смешанная. — Типовой ремонт. — Подходит под: спорт. РАСПОЛОЖЕНИЕ И ОСНАЩЕНИЕ: Отдельно стоящее здание расположено в пешей доступности станции метро. Ранее в здании располагался Досуго</t>
  </si>
  <si>
    <t xml:space="preserve">Коломенская, 17</t>
  </si>
  <si>
    <t xml:space="preserve">Нагатинский затон</t>
  </si>
  <si>
    <t xml:space="preserve">Арт. 139316427 Продажа торгового центра в Москве, ул. Коломенская д. 17 Окупаемость 8 лет! Расположение: густонаселенный жилой массив равноудаленно от станций метро Кленовый бульвар и Нагатинский затон 1-я линия улицы Коломенская рядом остановка общественного транспорта точка "входа" в большой жилой массив Здание: площадь 4 849 м2 2 этажа и подвал эл мощность 300 кВт эскалаторы на второй этаж, два грузовых лифта по 500 кг смешанная планировка витринные окна отдельные входные группы рядом открыта</t>
  </si>
  <si>
    <t xml:space="preserve">Егорьевская, 14С1</t>
  </si>
  <si>
    <t xml:space="preserve">Люблино</t>
  </si>
  <si>
    <t xml:space="preserve">ДОЛГОСРОЧНЫЙ АРЕНДАТОР! ПЛАТИМ БОНУС. ПОМЕЩЕНИЕ С АРЕНДАТОРОМ. Продажа здания целиком — 1 398,8 м2, г Москва, ул Егорьевская, д 14 стр 1. АРЕНДНЫЙ БИЗНЕС: — Доходность 11%, окупаемость до 9.11 лет. О ЗДАНИИ: — Общая площадь здания 1 398,8 м2. — Подвал - 61 м2. — 1 этаж - 615,2 м2. — 2 этаж - 627,3 м2. — Выделенная мощность - 150 кВт. — Площадь земельного участка - 2 798 м2. — Планировка: смешанная. — Типовой ремонт. — Подходит под: медцентр, гостиницу. — Высота потолков: 3.3 м. РАСПОЛОЖЕНИЕ И ОС</t>
  </si>
  <si>
    <t xml:space="preserve">Онежская, 34К2</t>
  </si>
  <si>
    <t xml:space="preserve">Продаётся второй этаж коммерческого здания — готовый арендный бизнес Москва, Онежская улица, 34, корп. 1 Предлагается к продаже полностью арендованный второй этаж коммерческого здания площадью 667 м². Объект продаётся как готовый арендный бизнес: все помещения второго этажа заняты действующими арендаторами, что позволяетновому собственнику получать доход с первогодня владения. Действующие арендаторы: • оптика; • база цветов; • Fix Price; • другие коммерческие площади. 4. Финансовые показатели: •</t>
  </si>
  <si>
    <t xml:space="preserve">Абрамцевская, 14А</t>
  </si>
  <si>
    <t xml:space="preserve">Лианозово</t>
  </si>
  <si>
    <t xml:space="preserve">Предлагается к продаже отдельно стоящее зданее целевого назначения -Аптека.Земля под зданием оформлена в собственность и продается вместе с сооружением.Имеется договор с Мосэнерго и Мосводоканалом.В помещении функционирует готовый бизнес в течении 25 лет.следующий дом на улице это медицинский центр с одной стороны, с другой пятерочка эти два фактора создают определенный человекопоток благоприятно влияющий на проходимость аптеки. Срок окупаемости 10 лет.</t>
  </si>
  <si>
    <t xml:space="preserve">Лобненская, 14</t>
  </si>
  <si>
    <t xml:space="preserve">Дмитровский</t>
  </si>
  <si>
    <t xml:space="preserve">ГАБ С ОКУПАЕМОСТЬЮ В ПРЕДЕЛАХ 10 ЛЕТ! ПЛАТИМ АГЕНТАМ. ПОМЕЩЕНИЕ С АРЕНДАТОРОМ. Продажа здания целиком — 2 900 м2, г Москва, ул Лобненская, д 14. АРЕНДНЫЙ БИЗНЕС: — Доходность 14%, окупаемость до 7.31 лет. О ЗДАНИИ: Панорамные витрины по периметру и дебаркадер для разгрузки большегрузов. — Мощность - 613 кВт. — Шаг колон - 12х12 м2. — Здание оборудовано всеми инженерными системами. — Планировка: смешанная. — Типовой ремонт. — Высота потолков: 6 м. — Парковочных мест: 22. РАСПОЛОЖЕНИЕ И ОСНАЩЕНИЕ:</t>
  </si>
  <si>
    <t xml:space="preserve">Поречная, 10</t>
  </si>
  <si>
    <t xml:space="preserve">Марьино</t>
  </si>
  <si>
    <t xml:space="preserve">КРУПНЕЙШИЙ ТРЦ В МАРЬИНО! ПЛАТИМ БОНУС. ПОМЕЩЕНИЕ С АРЕНДАТОРОМ. Продажа готового арендного бизнеса — 88 547 м2, г Москва, ул Поречная, д 10. АРЕНДНЫЙ БИЗНЕС: — Торгово-развлекательный центр сформирован как готовый арендный бизнес с действующей арендной моделью и сформированным пулом арендаторов. — Доходность 12%, окупаемость до 8.15 лет. Торговый центр расположен в густонаселенном районе Москвы - Марьино, недалеко от метро Марьино, Люблино, Братиславская. О ЗДАНИИ: Торговый центр ориентирован н</t>
  </si>
  <si>
    <t xml:space="preserve">Луганская, 5</t>
  </si>
  <si>
    <t xml:space="preserve">Царицыно</t>
  </si>
  <si>
    <t xml:space="preserve">ЭКСКЛЮЗИВ! С АГЕНТАМИ РАБОТАЕМ. ПОМЕЩЕНИЕ С АРЕНДАТОРОМ. Продажа здания целиком — 7 337,1 м2, г Москва, ул Луганская, д 5. АРЕНДНЫЙ БИЗНЕС: — Торговый центр Старк подключённый к центральным коммуникациям заселён надёжными арендаторами с выгодными договорами аренды. — Доходность 13%, окупаемость до 7.47 лет. О ЗДАНИИ: Земельный участок площадью 6 493 м2 в долгосрочной аренде до 2025 года. — Арендопригодная площадь - 6 000 м2. — Планировка: смешанная. — Типовой ремонт. РАСПОЛОЖЕНИЕ И ОСНАЩЕНИЕ: То</t>
  </si>
  <si>
    <t xml:space="preserve">Литовский, 22</t>
  </si>
  <si>
    <t xml:space="preserve">Ясенево</t>
  </si>
  <si>
    <t xml:space="preserve">Чистый операционный доход (NOI) — 240 млн ₽/год (окупаемость 7,9 лет) Состав продаваемого имущества: • здание ТЦ Ясенево — 13 518,4 м² • здание кафе — 500,9 м² • здание офиса — 731,0 м² • земельный участок — 0,8 га (собственность) • земельный участок — 0,26 га (аренда) с возможностью увеличения Ключевые операционные показатели: • Общая площадь (GBA) — 14 750,3 м² • Полезная площадь (GLA) — 12 500 м² • Занятость —90% • Количество арендаторов —101 • Чистый операционный доход (NOI) — 240 млн ₽/год </t>
  </si>
  <si>
    <t xml:space="preserve">Генерала Тюленева, 4АС1</t>
  </si>
  <si>
    <t xml:space="preserve">Теплый Стан</t>
  </si>
  <si>
    <t xml:space="preserve">АРЕНДНЫЙ БИЗНЕС С ВЕРАНДОЙ И ПАТИО. ПЛАТИМ БОНУСЫ. ПОМЕЩЕНИЕ С АРЕНДАТОРОМ. Продажа здания целиком — 1 594,4 м2, г Москва, ул Генерала Тюленева, д 4А стр 1. АРЕНДНЫЙ БИЗНЕС: — Доходность 10%, окупаемость до 10.45 лет. О ЗДАНИИ: Здание имеет открытые веранды на 1 и 2 этажах, а также пригодную для эксплуатации кровлю. Все коммуникации магистральные, тепло от своей газовой котельной. Земельный участок - 2 640 м2 в долгосрочной аренде до 2065 года. — В здании 2 этажа и подвал. — 1 этаж - 570,3 м2, п</t>
  </si>
  <si>
    <t xml:space="preserve">Новоясеневский, 13К2</t>
  </si>
  <si>
    <t xml:space="preserve">ПОМЕЩЕНИЕ С АРЕНДАТОРОМ. Продажа здания целиком — 2 467,2 м2, г Москва, Новоясеневский пр-кт, д 13 к 2. АРЕНДНЫЙ БИЗНЕС: — Доходность 5%, окупаемость до 18.92 лет. Также рядом со зданием расположены станции метро Ясенево, Новоясеневская и Битцевский Парк. О ЗДАНИИ: Земельный участок площадью 8 268 м2 - в долгосрочной аренде. ВРИ - Образовательное, офисно-деловое и медицинское назначения. — Общая площадь - 2 467,2 м2. — Арендопригодная площадь - 2 150 м2. — Электричество - 70 кВт, возможно увелич</t>
  </si>
  <si>
    <t xml:space="preserve">Куликовская, 9</t>
  </si>
  <si>
    <t xml:space="preserve">Северное Бутово</t>
  </si>
  <si>
    <t xml:space="preserve">ПОМЕЩЕНИЕ С АРЕНДАТОРОМ. Продажа здания целиком — 3 555,1 м2, г Москва, ул Куликовская, д 9. АРЕНДНЫЙ БИЗНЕС: — Доходность 10%, окупаемость до 9.72 лет. — Формат центра сочетает торговые и сервисные функции, поэтому соседство разных арендаторов формирует удобную среду для регулярных визитов жителей района. Объект находится в пешей доступности от станции метро Бульвар Дмитрия Донского. О ЗДАНИИ: В торговом центре предусмотрены отдельные входные группы, витринное остекление и зона погрузки и разгр</t>
  </si>
  <si>
    <t xml:space="preserve">Зеленоград, Андреевка, 1с2</t>
  </si>
  <si>
    <t xml:space="preserve">В продаже Готовый арендный бизнес с окупаемостью 8 лет на одной из главных улиц г. Зеленограда магазин Пятерочка. Помещение площадью 410 кв.м. находится на 1-м этаже двухэтажного торгового центра на 1линии улицы Андреевка, что обеспечивает хорошую видимость объекта и большое количество трафика. ТЦ окружен плотной жилой застройкой и является крупным продуктовым магазином в радиусе километра. Через дорогу (напротив входа) находится остановка общественного транспорта, парк "Фестивальная площадка Ле</t>
  </si>
  <si>
    <t xml:space="preserve">№ 90</t>
  </si>
  <si>
    <t xml:space="preserve">213602 Срочная продажа: Готовый арендный бизнес (ГАБ) в Новой Москве с уникальной окупаемостью в 6,5 лет! Предлагается к покупке готовый арендный бизнес (ГАБ) с беспрецедентно коротким сроком окупаемости для московского региона. Уникальное предложение связано с срочностью продажи: комплекс из двух зданий с надежным арендатором в Троицком административном округе Москвы (поселение Киевский, квартал 90, Бекасово). Главный бонус для инвестора — высокая окупаемость. Срок окупаемости составляет всего </t>
  </si>
  <si>
    <t xml:space="preserve">Округ</t>
  </si>
  <si>
    <t xml:space="preserve">До Кремля, км</t>
  </si>
  <si>
    <t xml:space="preserve">Площадь ЗУ, м²</t>
  </si>
  <si>
    <t xml:space="preserve">₽ за м² земли</t>
  </si>
  <si>
    <t xml:space="preserve">ВРИ (ЦИАН)</t>
  </si>
  <si>
    <t xml:space="preserve">СВАО</t>
  </si>
  <si>
    <t xml:space="preserve">Марьина роща</t>
  </si>
  <si>
    <t xml:space="preserve">Предлагаем к приобретению земельный участок в престижном районе Москвы с отличным потенциалом для коммерческого использования. Основное преимущество — локация с высокой проходимостью и транспортной доступностью.Основные характеристики участка:• Кадастровый номер: 77:02:0021011:1877• Общая площадь: 13,66 соток (удобная форма для застройки).• Категория земель: Земли населенных пунктов.• Разрешенное использование: Произошла смена ВРИ. Актуальные виды использования:o 4.1 (Деловое управление) — подхо</t>
  </si>
  <si>
    <t xml:space="preserve">ЦАО</t>
  </si>
  <si>
    <t xml:space="preserve">hotelAmenities</t>
  </si>
  <si>
    <t xml:space="preserve">id:1816. Продается земельный участок площадью 0,6502 га , расположенный в одном из самых престижных районов города. Это уникальная возможность воплотить в жизнь масштабный и прибыльный проект! Форма правообладания земельным участком - аренда до 2072. Вид разрешённого использования - Общественное питание, Гостиничное обслуживание. Форма сделки - купля-продажа для юридических лиц. 1 линия улицы. Двор полон зелени, тишина, прямой вид сверху на Яузкую набережную. Такое вложение станет выгодным старт</t>
  </si>
  <si>
    <t xml:space="preserve">ВАО</t>
  </si>
  <si>
    <t xml:space="preserve">warehouses</t>
  </si>
  <si>
    <t xml:space="preserve">Продажа от собственника Земельныи участок под производственно-складскои комплекс Адрес: г. Москва, 2-и Иртышскии проезд, д. 1 КАДАСТРОВЫИ НОМЕР 77:03:0002007:60 ЗУ выведен из городского КРТ Площадь участка 21 184 м2 Аренда ЗУ на 49 лет ТЭПы на 33 140 м2 (класс А) ЛЬГОТЫ ЗАСТРОЙЩИКУ ДО 4 МЛРД Преимущества строительства в этои локации: 1. Дефицитная внутригородская локация Внутри МКАД качественные площади класса А в остром дефиците: на фоне общегородского роста вакансии предложение в дефицитных ло</t>
  </si>
  <si>
    <t xml:space="preserve">publicUseOfCapitalConstruction</t>
  </si>
  <si>
    <t xml:space="preserve">ОТ СОБСТВЕННИКА. Прямая продажа от собственника участка на Огородном проезде д.5 стр.8: в свао, отдельно стоящее здание(760 кв.м.) + ангар(120кв.м.), территория в собственности, электричество 80кВа., имеет отличную транспортную доступность, расположен в 50 метрах от станции метро Бутырская (3 минуты пешком), в пяти минутах езды от ттк, проспекта мира, Дмитровское шоссе, огороженная территория, охрана, парковка, интернет, прямой выезд на МКАД через Алтуфьевское шоссе, два заезда на территорию. Во</t>
  </si>
  <si>
    <t xml:space="preserve">id:1746. Продаётся земельный участок площадью 2,62 гектара, расположенный в одном из самых престижных районов города. Это уникальная возможность воплотить в жизнь масштабный и прибыльный проект! Форма правообладания земельным участком - собственность. Вид разрешённого использования - эксплуатация зданий и прилегающей территории в служебных целях. Форма сделки - купля-продажа для юридических лиц. Такое вложение станет выгодным стартом для развития вашего бизнеса и позволит создать объект, который</t>
  </si>
  <si>
    <t xml:space="preserve">Свиблово</t>
  </si>
  <si>
    <t xml:space="preserve">id:1827. Земельный участок под инвестиционный проект - это уникальная возможность приобрести масштабный актив для перспективного развития. Обширная территория площадью 4300 гектаров открывает безграничный простор для амбициозных замыслов: от создания современного агропромышленного комплекса или логистического хаба до строительства эко-курорта или целого технологического кластера. Идеальная ровная площадь в 4300 м готовой коммерческой земли является готовым фундаментом для масштабного строительст</t>
  </si>
  <si>
    <t xml:space="preserve">ЮВАО</t>
  </si>
  <si>
    <t xml:space="preserve">Нижегородский</t>
  </si>
  <si>
    <t xml:space="preserve">serviceVehicles</t>
  </si>
  <si>
    <t xml:space="preserve">Предлагаем купить земельный участок под инвестиционный проект возле МЦК Новохохловская. Оптимальная локация. - 2 этажа - удобная транспортная доступность- в здании находится один надежный арендатор Автосервис - Месячный арендный поток - 1.4 млн - 256 кВт - земельный участок в аренде у города до 2074 года - ВРИ деловое управление, ремонт и стоянка ТС - рядом МЦК и D2 Новохохловская , ТТК - оперативный показ Звоните, организуем показ и ответим на все вопросы</t>
  </si>
  <si>
    <t xml:space="preserve">Южнопортовый</t>
  </si>
  <si>
    <t xml:space="preserve">businessManagement</t>
  </si>
  <si>
    <t xml:space="preserve">ЗЕМЕЛЬНЫЙ УЧАСТОК ПОД РЕАЛИЗАЦИЮ ПРОЕКТА ДЛЯ СТРОИТЕЛЬСТВА БИЗНЕС-ЦЕНТРА Предлагается инвестиционная площадка под строительство современного офисно-делового комплекса в Москве. Земельный участок расположен в сформированной городской среде, в непосредственной близости от метро Волгоградский проспект и ключевых транспортных магистралей Юго-Восточного административного округа. Проект обладает высоким потенциалом для реализации коммерческой недвижимости и объединяет несколько факторов, напрямую влия</t>
  </si>
  <si>
    <t xml:space="preserve">САО</t>
  </si>
  <si>
    <t xml:space="preserve">Беговой</t>
  </si>
  <si>
    <t xml:space="preserve">К продаже предлагается земельный участок с уникальными видовыми характеристиками в Беговом районе города Москвы. С верхних этажей будущего здания будут открываться панорамные виды на Центральный Московский ипподром — объект культурного наследия, который после завершения реконструкции (2026 год) станет одним из лучших конноспортивных комплексов мира и превратится в знаковую точку притяжения жителей и гостей столицы. Кадастровый номер: 77:09:0005015:139 Площадь участка: 0,21 га Наилучшее использов</t>
  </si>
  <si>
    <t xml:space="preserve">leisure</t>
  </si>
  <si>
    <t xml:space="preserve">Продажа проекта Падел-центра. Продажа права размещения Спортивного комплекса на 49 лет на земельном участке, расположенном в густонаселенном массиве района Перово, ВАО - Восточного административного округа Москвы. 700 метров до метро Перово. Участок на первой линии ул.Перовскаяв начале Перовского парка. НАЗНАЧЕНИЕ земельного участка: размещение объектов не капитального строительства для обеспечения занятий физической культурой и спортом. ПЛОЩАДЬ объектов, которые можно установить - всего до 2639</t>
  </si>
  <si>
    <t xml:space="preserve">Арбат</t>
  </si>
  <si>
    <t xml:space="preserve">shoppingCenters</t>
  </si>
  <si>
    <t xml:space="preserve">Номер объекта: 14585. Участок в центре Москвы — рядом с Новым Арбатом Редкое предложение для инвестора: земельный участок площадью 516 м² (5,16 сотки) со зданием 285,5 м² в историческом центре Москвы. Новинский бульвар и Новый Арбат — рядом, метро "Смоленская" — в одной минуте ходьбы. Центральная локация и тишина московского двора: Объект расположен в окружении элитных жилых домов, ресторанов и современных офисных пространств. Рядом — храм, небольшой уютный парк и спортивный корт. В пешей доступ</t>
  </si>
  <si>
    <t xml:space="preserve">Зeмельный учacток в Моcкве!Распoложeн по aдрecу: г. Москва, ЮBAO, ул. Гpaйвороновская, д.5.Площадь зeмельнoгo учacтка, apендуeмогo у Депаpтамeнтa зeмельных реcуpсoв г. Moсквы, cocтaвляет 15 629 кв.мeтpов.Ha учacтке pacпoложены капитальные cтроeния площадью свыше 2 тысяч квадратных метров, находящиеся в собственности предприятия.Утвержденным Правительством Москвы проектом планировки территории предусмотрена возможность строительства на участке административно-складского комплекса, суммарной поэта</t>
  </si>
  <si>
    <t xml:space="preserve">Для целей развития Вашего бизнеса предлагаем Вам рассмотреть возможность приобретения нашего административно-складского комплекса, расположенного по адресу: г. Москва, ЮВАО, ул. Грайвороновская, д.5. Площадь земельного участка, арендуемого у Департамента земельных ресурсов г. Москвы, составляет 1,5 гектара. На участке расположены капитальные строения площадью свыше 2 тысяч квадратных метров, находящиеся в собственности предприятия. Утвержденным Правительством Москвы проектом планировки территори</t>
  </si>
  <si>
    <t xml:space="preserve">Печатники</t>
  </si>
  <si>
    <t xml:space="preserve">industry</t>
  </si>
  <si>
    <t xml:space="preserve">944821 Предлагается земельный участок с строениями, общей площадью 1 га в ЮВАО, район Печатники. Преимущества: - первая линия ул. Угрешская; - 5 минут пешком от ст. м. "Дубровка"; - напротив крупный жилой массив с развитой инфраструктурой; - удобный выезд на ТТК. Параметры: - выдан ГПЗУ RU77-178000-007339 от 23.07.2013г, на основании которого площадь наземной части нового строительства равна 12 800 м²; - разрешенное использование участка по договору: для размещения офисных зданий делового и комм</t>
  </si>
  <si>
    <t xml:space="preserve">ЮАО</t>
  </si>
  <si>
    <t xml:space="preserve">1154235 Предлагается к продаже проект строительства многофункционального офисного комплекса "Ленинская слобода". Основные параметры объекта: - земельный участок 0,4 Га; - основные ВРИ: 4.1. "Деловое управление", 4.4. "Магазины"; - плотность застройки: 67,5 тыс. м²/Га; - площадь перспективного объекта строительства в ГНС: 27,3 тыс. м²; - 17 этажей, включая 1 подземный; - паркинг на 79 машиномест. Статус выпуска ИРД: - пройдена ГЗК с решением о внесении изменений в ПЗЗ в соответствии с ТЭП; - разр</t>
  </si>
  <si>
    <t xml:space="preserve">Предложение от собственника! Предлагается к продаже земельный участок для реализации перспективного инвестиционного проекта строительства, расположенный на Даниловской набережной с удобной транспортной доступностью и высокими перспективами развития инфраструктуры. Основные характеристики: Площадь земельного участка: 2 052 кв. М. Категория земли: земли населенных пунктов. Правовой статус: долгосрочная аренда до 2068 г. Существующие объекты: 2 здания площадью 949,5 кв. М. (сдаются в аренду). Потен</t>
  </si>
  <si>
    <t xml:space="preserve">Хорошевский</t>
  </si>
  <si>
    <t xml:space="preserve">Арт. 77964735. Продается земельный участок 1,2 га (два смежных участка 0,9 и 0,3 га) в Хорошевском районе (САО). На участке существующий имущественный комплекс площадью 10,8 тысяч кв.м. Стабильный арендный доход. Согласованная площадь нового строительства (ГНС) 48,9 тыс.кв.м. Пройдена ГЗК, утверждены ВРИ и ТЭПы для территориальной подзоны, выпуск ГПЗУ является обязательством продавца. Площадь 0,9 га - ВРИ: деловое управление. Площадь 0,3 га - ВРИ: открытая автостоянка. Стоимость: 1,85 млрд. рубл</t>
  </si>
  <si>
    <t xml:space="preserve">Северное Измайлово</t>
  </si>
  <si>
    <t xml:space="preserve">Арт. 92080676. Уникальное предложение на рынке коммерческой земли в Восточном округе Москвы. Локация: Москва, ВАО, ул. 16-я Парковая, вл. 36. Участок в плотной городской застройке, отличная транспортная доступность. Площадь: 1 га (ровно 10 035 м²). Правильная прямоугольная форма, без обременений. Общая площадь строений расположенных на участке: 2.836,3 кв.м. (все строения в собственности) На участке расположена действующая трансформаторная подстанция (ТП). Выделенная электрическая мощность — 400</t>
  </si>
  <si>
    <t xml:space="preserve">ОАО РЖД продает подъездные пути протяженностью 1895 м и 2270 м в районе Печатники Юго-Восточного административного округа г. Москвы ст. Южный Порт. Площадь земельного участка, занятого путями, около 15 тыс.кв.м. Пути расположены на территории редевелопмента промзоны Южный порт. Кластер Южный порт будущий третий центр столицы (после исторического центра Москвы и делового центра Москва-Сити). В районе проводится активное строительство деловых и жилых кварталов. Планируется обустройство набережных </t>
  </si>
  <si>
    <t xml:space="preserve">Вешняки</t>
  </si>
  <si>
    <t xml:space="preserve">Аукцион на повышение!</t>
  </si>
  <si>
    <t xml:space="preserve">Земельный участок Площадь 503 кв.м. Вид разрешенного использования: магазины (4.4); бытовое обслуживание (3.3) Адрес: г. Москва, мун. окр. Вешняки, ул. Кетчерская, з.у. 4Б/2 Подходит под строительство капитального, либо некапитального здания торгового назначения. Участок расположен в одном ряду с торговыми рядами. Высокий пешеходный трафик. Участок реализуется посредством электронного аукциона в открытой форме на площадке "Центр дистанционных торгов", код торгов: 386127, начало приема заявок на </t>
  </si>
  <si>
    <t xml:space="preserve">Предлагается имущественный комплекс, состоящий из нескольких зданий общей площадью 6000 м2, расположенных на участке 63 сотки. Земля в долгосрочной аренде. Все коммуникации имеются. В настоящее время - действующий арендный бизнес. Район активно застраивается. Входит в территорию Большого Сити.</t>
  </si>
  <si>
    <t xml:space="preserve">СЗАО</t>
  </si>
  <si>
    <t xml:space="preserve">СОБСТВЕННАЯ ТЕРРИТОРИЯ ДЛЯ БИЗНЕСА В МОСКВЕ 20,37 сотки собственной земли + здание 140 м²undefined/p&gt; Закрытая площадка с обособленным въездом, воротами, парковкой и помещением под офис или склад. Не офис в бизнес-центре и не аренда территории, а ВАШ ОБЪЕКТ. Продажа от собственника: и земля, и здание принадлежат одному владельцу. Можно использовать под: — склад и логистику; — автосервис и ремонтную зону; — стоянку транспорта; — производственную или сервисную деятельность; — размещение дополнител</t>
  </si>
  <si>
    <t xml:space="preserve">Войковский</t>
  </si>
  <si>
    <t xml:space="preserve">Продается земельный участок 0,58 Га. по адресу г. Москва, г.м. округ Молжаниновский, Проектируемый проезд 727-й. с кадастровым номером 77:09:0006004:1744Вид разрешенного использования: в соответствии с проектом планировки территории (ППТ) участок расположен в зоне коммерции и торговли. Подходит под строительство торгового центра, склада, офисного здания, объекта придорожного сервиса, рынка. По участку проходят сети канализации, водопровода, кабельной линии. Удобный подъезд, хорошая транспортная </t>
  </si>
  <si>
    <t xml:space="preserve">Донской</t>
  </si>
  <si>
    <t xml:space="preserve">ПРЕДЛОЖЕНИЕ ОТ СОБСТВЕННИКА!!! Предлагаем приобрести право аренды перспективного земельного участка по адресу: г. Москва, Загородное шоссе, д. 7, корп. 5, строение 1, для реализации строительных проектов любой сложности. Основные параметры: Площадь участка: 0,42 га; Цена: 280 млн руб.; Назначение: для эксплуатации административного здания Статус: в аренде Преимущества: Удачное расположение: здание находится в Южном административном округе, в районе Донской. Транспортная доступность: в пешей дост</t>
  </si>
  <si>
    <t xml:space="preserve">id:1823. Представляем вашему вниманию уникальный объект коммерческой недвижимости - земельный участок площадью 18,4 гектара (18 400 квадратных метров). Этот участок - настоящая находка для тех, кто ищет перспективную площадку для реализации амбициозных бизнес-проектов. Просторный участок обладает огромным потенциалом для строительства торгово-развлекательного комплекса, логистического центра, производственного предприятия или любого другого объекта, который сможет эффективно использовать данную </t>
  </si>
  <si>
    <t xml:space="preserve">Коптево</t>
  </si>
  <si>
    <t xml:space="preserve">Уникальный номер помещения - 10800-341. Земельный участок с объектами индустриальной недвижимости в Москве Удобное расположение: км. до МКАД. Добавьте объявление в избранное, чтобы не упустить выгодное предложение! Объект располагается в САО города Москвы, в пределах МЦК, Метро Войковская , МЦК Балтийская, МЦК Коптево, Все здания и сооружения отдельно стоящие и находятся в действующем и отремонтированном состоянии. Также в эксплуатации перед зданием дополнительно используется участок земли 0,5 Г</t>
  </si>
  <si>
    <t xml:space="preserve">Арт. 145713624 К продаже предлагается собой крупный индустриально-складской актив в Москве, который обладает значительным потенциалом как для операционной деятельности, так и для девелопмента в рамках существующих разрешенных видов ## Основные характеристики объекта * Локация: 4-й Лихачевский переулок, вл. 6. Это перспективная промышленная зона САО Москвы, обладающая хорошей транспортной доступностью (близость к СВХ/МСД и Ленинградскому шоссе). * Земельный участок: 109 577 м² (около 11 га). * Им</t>
  </si>
  <si>
    <t xml:space="preserve">Алтуфьевский</t>
  </si>
  <si>
    <t xml:space="preserve">Продажа проекта Падел-центра. Прoдажa прав размещения объекта на земельном учaстке, рaспoлoжeнным в густoнаcелённом мacсиве в Алтуфьевском районе СВАО. 670 метров до метро Бибирево. Участок на первой Костромской улицы. НАЗНАЧЕНИЕ земельного участка: размещение объектов не капитального строительства для обеспечения занятий физической культурой и спортом. ПЛОЩАДЬ объектов, которые можно установить - всего до 3000 кв.м (не более 2 этажей), в том числе до 900 кв.м сопутствующих услуг (торговля, обще</t>
  </si>
  <si>
    <t xml:space="preserve">ЮЗАО</t>
  </si>
  <si>
    <t xml:space="preserve">Продаётся земельный участок в перспективной локации, площадью 764м2,с расположенным на нём нежилым двухэтажным зданием площадью 303,9м2. Кадастровый номер 77:06:0002008:1142. Здание и земельный участок в собственности. Подключены все коммуникации. Имеется действующий ГПЗУ: Высота до 65м, площадь не более 1146м2</t>
  </si>
  <si>
    <t xml:space="preserve">Лот k14271. Продажа земельного участка по адресу: Варшавское шоссе вл. 32. Возле выхода из метро Нагатинская. Общая площадь - 10 499 кв.м. ЗУ в собственности, получено рнс на строительство офисно-торгового комплекса площадью 40 000 кв.м. На данный момент есть действующее здание которое приносит МАП 4 500 000 руб. Все готово к началу строительство . Стоимость продажи 1 200 000 000 руб.</t>
  </si>
  <si>
    <t xml:space="preserve">Выхино-Жулебино</t>
  </si>
  <si>
    <t xml:space="preserve">Продажа проекта Падел-центра- участок под размещение спорткомлпекса. Прoдажa прав размещения объекта на земельном учaстке, рaспoлoжeнным в густoнаcелённом мacсиве на Волгоградском проспекте, район Выхино-Жулебино, Юго-Восточный административный округ. 1000 метров до метро Юго-Западная. Участок на первой линии Волгоградского проспекта. НАЗНАЧЕНИЕ земельного участка: размещение объектов не капитального строительства для обеспечения занятий физической культурой и спортом. ПЛОЩАДЬ объектов, которые </t>
  </si>
  <si>
    <t xml:space="preserve">Восточное Дегунино</t>
  </si>
  <si>
    <t xml:space="preserve">СОБСТВЕННИКИ! Предлагается к продаже земельный участок площадью 0,56 Га. Участок в собственности. ВРИ - эксплуатация производственных и складских помещений. Не входит в зону КРТ! Объект с НДС! На участке расположена автомойка со стоянкой, МАП 580 000 руб. Центральные коммуникации подведены. Огороженная, охраняемая территория, въезд через шлагбаум. Объект расположен в 15 минутах пешком от ст. метро "Яхромская и МЦД "Бескудниково.</t>
  </si>
  <si>
    <t xml:space="preserve">1216616 Предлагается земельный участок с арендатором общей площадью 0,56 га в Москве, на ул. Дубнинской. Возможные варианты использования: - ВРИ - эксплуатация производственных и складских помещений; - производственная деятельность; - склады; - хранение автотранспорта, автомойка и иные. Преимущества: - развитая транспортная инфраструктура: первая линия ул. Дубнинская, 15 мин. пешком до ТПУ "Лианозово", МЦД-1 "Бескудниково"; - соседи: ГК "Основа", ГК "Рандеву", "Группа ЛСР"; - участок правильной </t>
  </si>
  <si>
    <t xml:space="preserve">ЗАО</t>
  </si>
  <si>
    <t xml:space="preserve">Крылатское</t>
  </si>
  <si>
    <t xml:space="preserve">г.Москва, ул. Островная, д.2 Гольф клуб в Крылатском. 55 Га. ЗУ - ДДА ЗУ с Юр. Лицом К.Н. 77:07:0001004:2 ОКС - в собственности Юр.лица К.Н. 77:07:0001004:2783 К.Н. 77:07:0001004:1103 Созданная нами с нуля много лет назад действующая спортивная и развлекательная инфраструктура позволяет сразу преступить к реализации Ваших планов еще до получения ИРД. Одна из самых востребованных в столице локаций - берег Москва реки в Крылатском, поможет ускорить процессы инвестирования и реализации. Мы открыты </t>
  </si>
  <si>
    <t xml:space="preserve">922418 Предлагается земельный участок под строительство БЦ в районе Марьино, площадью 1 га. Преимущества: - центр крупного жилого микрорайона; - близость к основным магистралям города: выезд на ТТК, Каширское шоссе, МКАД; - 5 минут пешком от пл. "Перерва"; - сложившееся торговое окружение. Инвестиционный проект: - общая площадь здания: 56 600 м²; - этажность: 40 надземных этажей и 1 подземный; - с 15 и по 28 этаж объем начинает формироваться уступами, ориентированными в западном направлении, где</t>
  </si>
  <si>
    <t xml:space="preserve">Арт. 135606239 Предлагается к продаже привлекательный земельный участок в Москве. Ключевые характеристики: Площадь участка: 0,51 га. Местоположение: г. Москва, Варшавское шоссе, вл. 66, корпус 2. Ближайшие трассы и магистрали, трасса Солнцево, Бутово, Варшавское шоссе. Эта магистраль соединяет пять вылетных магистралей: Минское, Боровское, Киевское, Калужское и Варшавское шоссе. Она является частью транспортного каркаса ТиНАО и дублером юго-западной и южной части МКАД. Преимущества расположения:</t>
  </si>
  <si>
    <t xml:space="preserve">Арт. 96732261. Инвестиционный участок со строением 1500 м2. категория земель — земли населённых пунктов; разрешённое использование (ВРИ) — для размещения объектов торговли. а так же 3.3 — бытовое обслуживание 4.1 — деловое управление; 4.4 — магазины 4.6 — общественное питание (рестораны, кафе); 4.9 — служебные гаражи; 5.1.2 — обеспечение занятий спортом в помещениях; возможность высотной застройки. обсудим совместную деятельность.</t>
  </si>
  <si>
    <t xml:space="preserve">Фили-Давыдково</t>
  </si>
  <si>
    <t xml:space="preserve">id:1825. Представляем вашему вниманию уникальный объект коммерческой недвижимости - земельный участок площадью 3600 квадратных метров, который откроет перед вами широкие возможности для реализации самых амбициозных бизнес-проектов! Этот участок - настоящая находка для инвесторов и предпринимателей, стремящихся к успеху и готовых воплотить в жизнь свои самые смелые идеи. Здесь можно создать современный торгово-развлекательный комплекс, логистический центр, офисное здание или любой другой объект, </t>
  </si>
  <si>
    <t xml:space="preserve">Косино-Ухтомский</t>
  </si>
  <si>
    <t xml:space="preserve">lowriseHousing</t>
  </si>
  <si>
    <t xml:space="preserve">Арт. 145788832 Вашему вниманию предлагается земельный участок S - 6152 м2. Расположение: -Участок находится в одном из густонаселённых районов Москвы — ВАО , в окружении природных парков: Косинский парк, Салтыковский парк, парк Кузьминки. Имеет удобную транспортную доступность от станции метро Улица Дмитриевского, МКАД и Косинское шоссе. -Участок расположен в зоне активной застройки (реновация), рядом с участком будет построена дорога с прямым выездом на улицу Камова. Уже сделано: -Подведены все</t>
  </si>
  <si>
    <t xml:space="preserve">Южное Тушино</t>
  </si>
  <si>
    <t xml:space="preserve">highriseBuildings</t>
  </si>
  <si>
    <t xml:space="preserve">Продается земельный участок под жилую застройку по адресу: г.Москва, ул. Сходненская, 10. На участке расположено нежилое двухэтажное здание общей площадью 807 кв.м. 1957 года постройки. Возможно новое строительство или реконструкция. Снят запрет на строительство, реконструкцию. Основной вид разрешенного использования - Жилая застройка. Размещение жилых домов различного вида. Содержание данного вида разрешенного использования включает в себя содержание видов разрешенного использования с кодами 2.</t>
  </si>
  <si>
    <t xml:space="preserve">13-й км MКAД внешняя cтoрoна Юго-Воcток, 1,6 гa. Кадacтрoвый номеp 50:22:0050101:191. Зeмли нaceлeнных пунктов, рaзpeшенное использoвaниe: для общecтвeнно-делoвогo и грaжданcкого cтрoитeльcтвa. Пepвaя линия. Площaдка под cтрoитeльствa для любoгo видa деятeльнocти: TОPГОBOГО ЦЕНTPА, ЗАПРАВОЧНОГО КОМПЛЕКСА, АВТОСАЛОНА И Т.П! Газ проходит вдоль участка. Поможем с разрешительной документацией.</t>
  </si>
  <si>
    <t xml:space="preserve">Предлагается к продаже земельный участок площадью 29,55 соток, расположенный на первой линии улицы Крылатские Холмы. Престижная локация с высоким трафиком и платежеспособной аудиторией. Параметры: — Кадастровые номера: 77:07:0001002:13, 77:07:0001002:12 — ВРИ: Для эксплуатации торгово-производственного корпуса, под благоустройство. — Коммуникации: Центральные, заведены на участок. Потенциал использования: Редевелопмент, строительство объекта торговли, стрит-ритейл, арендный бизнес. Отличная визу</t>
  </si>
  <si>
    <t xml:space="preserve">Черемушки</t>
  </si>
  <si>
    <t xml:space="preserve">РЕДКОЕ ПРЕДЛОЖЕНИЕ — ПРОДАЖА ЗЕМЛИ И ЗДАНИЯ В СОБСТВЕННОСТЬ! ПРЕСТИЖНЫЙ ЮГО-ЗАПАД МОСКВЫ! Адрес: г. Москва, ЮЗАО, Черёмушки, Научный проезд, д. 8, стр. 6. ОБЪЕКТ: Продаётся земельный участок в собственности площадью 1 191 кв.м, а также здание на участке — в собственности, площадью 473,9 кв.м. Объект расположен в деловом кластере ЮЗАО — в окружении офисных и производственных зданий, без жилой застройки поблизости, что делает его идеальным для бизнеса. УДОБНОЕ РАСПОЛОЖЕНИЕ: 5-10 минут пешком до ст</t>
  </si>
  <si>
    <t xml:space="preserve">Орехово-Борисово Северное</t>
  </si>
  <si>
    <t xml:space="preserve">id:1824. Представляем вашему вниманию уникальный объект коммерческой недвижимости - земельный участок, который станет отличной основой для реализации самых амбициозных бизнес-проектов! Площадь участка составляет 3900 квадратных метров (0,39 гектара) - это пространство, которое открывает широкие возможности для строительства торгово-развлекательного комплекса, бизнес-центра, логистического узла или любого другого объекта, способного привлечь внимание инвесторов и клиентов. Отражает его потенциал </t>
  </si>
  <si>
    <t xml:space="preserve">Куркино</t>
  </si>
  <si>
    <t xml:space="preserve">Продаются 2 земельных участка в одном лоте: кадастровый номер 77:08:0001014:1739 и 77:08:0001014:1740, площадь 1,94Га, адрес: г. Москва, Куркинское шоссе, з/у 13А и 13 Б. Категория земли: Земли населенных пунктов, вид разрешенного использования: Автомобильные мойки (4.9.1.3.), Общественное питание (4.6). В границах участков проходят готовые инженерные сети: канализация, газопровод, трансформаторная подстанция (ТП 20070).</t>
  </si>
  <si>
    <t xml:space="preserve">Земельные участки 0,8 га (собственность) и 0,26 га (аренда) с возможностью увеличения продаются в составе имущественного комплекса действующего торгового центра Ясенево. Состав продаваемого имущества: • земельный участок — 0,8 га (собственность) [КН: 77:06:0008011:6] • земельный участок — 0,26 га (аренда) [КН: 77:06:0008011:43] • здание ТЦ Ясенево — 13 518,4 м² • здание офиса — 731,0 м² • здание кафе — 500,9 м² Ключевые операционные показатели: • Общая площадь (GBA) — 14 750,3 м² • Полезная площ</t>
  </si>
  <si>
    <t xml:space="preserve">Бирюлево Восточное</t>
  </si>
  <si>
    <t xml:space="preserve">Земельный участок под коммерцию: инвестируйте в перспективный актив! Ищете площадку для масштабного коммерческого проекта? Представляем вашему вниманию уникальный земельный участок в стратегически выгодной локации — первая линия МКАД между ТЦ Вегас и Конструктор. Идеальное решение для амбициозных бизнес идей! Ключевые преимущества предложения: Статус: в собственности (возможна продажа по ДКП или через покупку юр.лица). Локация: Московская область, Ленинский городской округ, посёлок совхоза имени</t>
  </si>
  <si>
    <t xml:space="preserve">id:1821. Предложите вашему бизнесу пространство для роста и развития - коммерческая земля, которая станет фундаментом для реализации самых смелых идей! Площадь участка - 1,72 гектара (17 200 кв. м), что открывает широкие возможности для строительства торгового центра, логистического комплекса, офисного здания или любого другого объекта, который будет отвечать вашим бизнес-потребностям. Вложение в такую недвижимость - это не только возможность создать прибыльный проект, но и перспектива долгосроч</t>
  </si>
  <si>
    <t xml:space="preserve">Бирюлево Западное</t>
  </si>
  <si>
    <t xml:space="preserve">Уникальный номер помещения - 11892-341. Промышленная земля для малого и среднего бизнеса под производственные или логистические цели. Добавьте объявление в избранное, чтобы не упустить выгодное предложение! Подойдет для постройки объектов индустриальной недвижимости Категория земель: земли населенных пунктов Виды разрешенного использования: Предоставление коммунальных услуг (3.1.1), Легкая промышленность (6.3), Пищевая промышленность (6.4), Связь (6.8), Склад (6.9), Научно-производственная деяте</t>
  </si>
  <si>
    <t xml:space="preserve">Арт. 90326553 Земельный участок под автобизнес/склад/производство. ЗУ полностью готов для начала строительства Вашего бизнеса! На ЗУ сотки находятся: ТП с подключенной мощностью - 928 кв.т.; Подъездные пути/дорожные плиты; Бытовки/офисы; Био туалеты; Частично: ливневка; По границе расположены: ГАЗораспределительные станции (4шт); ВЗУ (водозаборная камера); Электросети; Распределение эл-ва: 230 кв.т. на ЗУ 23 сотки и 698 кв.т. на ЗУ 70 соток; Получены ТУ на: эл-во 3,4 МВА, и это не предел для дан</t>
  </si>
  <si>
    <t xml:space="preserve">НАО (Новомосковский)</t>
  </si>
  <si>
    <t xml:space="preserve">Продаётся уникальный земельный участок коммерческого назначения площадью 6 соток. Идеальный вариант для инвесторов, желающих получать пассивный доход с первого дня после покупки.Главное преимущество:Земля уже сдана в долгосрочную аренду и приносит стабильный ежемесячный доход 900 000 рублей. Окупаемость объекта максимально прозрачна.Характеристики и плюсы:Площадь: 6 соток (600 кв.м.).Назначение: под магазин / торговый объект .Коммуникации: все центральные сети подключены (электричество , вода, к</t>
  </si>
  <si>
    <t xml:space="preserve">Солнцево</t>
  </si>
  <si>
    <t xml:space="preserve">Продаётся коммерческий земельный участок 9,51 сотки в Новой Москве Адрес: г. Москва, п. Московский, д. Румянцево, ул. Центральная, 46А Транспорт: 15-18 минут пешком до метро Румянцево и Саларьево. Документы: Свежий ГПЗУ. Без обременений, быстрый выход на сделку. Кадастровый номер: 77:17:0110501:934 ГЛАВНЫЕ ПРЕИМУЩЕСТВА ОБЪЕКТА: • Московская прописка и статус земли в границах столицы. • Идеальные коммуникации (УЖЕ ПОЛУЧЕНЫ ТУ): в ГПЗУ официально прописаны точки подключения и лимиты от Ао Мосводок</t>
  </si>
  <si>
    <t xml:space="preserve">Молжаниновский</t>
  </si>
  <si>
    <t xml:space="preserve">Продается земельный участок 4,54 Га. с кадастровым номером 77:09:0006007:1325, по ППТ в зоне коммерции и торговли. На 90% под ЛЭП. Подойдет под рынок/палатки или что-то подобное. Оперативно предоставим ГПЗУ, это ускорит начало проектирования для нового собственника, звоните предоставим полный пакет документов.</t>
  </si>
  <si>
    <t xml:space="preserve">Уникальный номер помещения - 10419-341. Земельный участок под строительство. Удобное расположение: 4 км. до МКАД. Добавьте объявление в избранное, чтобы не упустить выгодное предложение! Подойдет для постройки объектов индустриальной недвижимости Электричество 600 кВт Коммуникации по границе участка Огороженная территория. Удобный заезд. Все условия для комфортной работы. Подробности по запросу Почему стоит обращаться к нам: 1) Работаем с 2014 года 2) Специализируемся только на индустриальной и </t>
  </si>
  <si>
    <t xml:space="preserve">Арт. 95995992. Новая Москва. Прямая продажа. Земельный участок под строительство. - Категория земель: Земли населённых пунктов - Разрешенное использование: Согласно ГПЗУ (получен в сентябре 2020 года) на участке возможно размещение капитальных сооружений, в т.ч. объектов торговли, магазинов, производственных и административных зданий, строений, сооружений и обслуживающих их объектов.,деловое управление, объекты торговли, банковская и страховая, общественное питание, развлекательные, служебные га</t>
  </si>
  <si>
    <t xml:space="preserve">Земельный участок в Новой Москве - перспективная площадка для коммерческого и производственного строительства. Площадь - 3,5 га. Прямая продажа. Участок относится к землям населённых пунктов. Возможность строительства объектов: административные здания, торговые и производственные комплексы, объекты общественного питания, складские и служебные помещения. Разрешены направления от лёгкой промышленности до энергетики и связи. Локация усиливает экономическую эффективность проекта: участок находится в</t>
  </si>
  <si>
    <t xml:space="preserve">Участок в 2-х километрах от Мкад К участку удобная заасфальтированная дорога. Общая площадь участка 35000 м2 (3,5 Га). На участке есть временные постройки. мощность 600 Квт, возможно увеличение. Территория огорожена. прямая продажа. Земли населенных пeнгктов, под производственные постройки. Ври : Общественное использование объектов капитального строительства (3.0) - Деловое управление (4.1) - Объекты торговли (торговые центры, торгово-развлекательные центры (комплексы) (4.2) - Рынки (4.3) - Мага</t>
  </si>
  <si>
    <t xml:space="preserve">Продажа проекта теннисный центр или падел. Прoдажa прав размещения объекта на земельном участке, расположенном в 1-м микрорайоне, в районе Северное Бутово, Юго-Западный административный округ. Метро Бульвар Дмитрия Донского рядом. Участок на первой линии рядом со МКАД. НАЗНАЧЕНИЕ земельного участка: размещение объектов не капитального строительства для обеспечения занятий физической культурой и спортом. ПЛОЩАДЬ объектов, которые можно установить - всего до 3080 кв.м (не более 2 этажей), в том чи</t>
  </si>
  <si>
    <t xml:space="preserve">individualHousingConstruction</t>
  </si>
  <si>
    <t xml:space="preserve">id:1911. Представляем вашему вниманию уникальный объект коммерческой недвижимости - земельный участок площадью 2,5 гектара, выставленный на продажу. Замечательная возможность построить коттеджный поселок. Этот просторный участок является настоящей находкой для тех, кто ищет перспективную площадку для реализации амбициозных бизнес-проектов. Участок обладает огромным потенциалом для строительства торгово-развлекательного комплекса, логистического центра, производственного предприятия или любого др</t>
  </si>
  <si>
    <t xml:space="preserve">Продается участок 12 Га на первой линии Киевского шоссе, рядом с Метро и Лемана ПРО. Вид разрешенного использования: для размещения многофункционального административно-торгового и производственно-складского комплекса. Идеально подойдет под логистический складской центр. Возможно межевание. Вечерняя сторона, рядом жилые микрорайоны Новой Москвы.</t>
  </si>
  <si>
    <t xml:space="preserve">Арт. 143452932 Участок промышленного назначения 47.03 сот. Возможно увеличение площади! Адрес: Московская область, г.о. Химки, Зона: МФ многофункциональная зона. ЕГРН: Производственная деятельность, Склад Цена: 23 515 000 руб. Коммуникации: Электричество на 50кВт, (за доп. плату) Газ по границе. (Возможно подключение). Инфраструктура: Асфальтированная дорога, доступ 24/7. Отличная локация! Подходит для большегрузного транспорта! Расстояние: до МКАД 10 км, до Аэропорта Шереметьево 4 км, до А-107 </t>
  </si>
  <si>
    <t xml:space="preserve">commonUseArea</t>
  </si>
  <si>
    <t xml:space="preserve">Предлагается к продаже земельный участок общей площадью 11 851 кв.м. (кадастровый номер 50:21:0120114:2504) Земля в собственности Адрес: г. Москва, поселение Сосенское, вблизи д. Летово, уч. 20-1б-2 Земельный участок расположен в 4 км. от МКАД и находится на первой линии Калужского шоссе ( поселок Дубровка ) на пересечении с новой трассой Солнцево-Бутово-Видное. Согласованы въезды и выезды с Департаментом транспорта г. Москвы.</t>
  </si>
  <si>
    <t xml:space="preserve">Продается участок под ваши цели, возможно под многоэтажную застройку с подземным паркингом и ФОК, под Торгово-Развлекательный комплекс (в чем так нуждается плотнозаселенный район) Земельный участок 134 сотки, Москва, Рассказовка, в центре жилой застройки в 17 минутах от метро. - Есть предварительное заключение архитектуры о возможности строительства Жилого дома 23000 кв м и ФОК на 2170 кв м. - Так же, можно рассмотреть под строительство ТРЦ. Подробности по запросу. Звоните, мы рассмотрим ваше пр</t>
  </si>
  <si>
    <t xml:space="preserve">Уникальное предложение: имущественно-земельный комплекс коммерческого назначения в Новой Москве в 10 мин. езды от МКАД. ИЗК включает (все перечисленное находится в собственности): — три земельных участка общей площадью 1660 кв.м. Вид разрешенного использования — объекты общественного питания / размещение магазина, ресторана — на земельных участках расположены два здания: 1378.9 кв.м. (4 этажа, в том числе подземных 1) и 459.1 кв.м. (3 этажа) нежилого назначения — отдельную огороженную парковку 1</t>
  </si>
  <si>
    <t xml:space="preserve">Код объекта: 2295584. Продается земельный участок 99.25 соток в Москве . В непосредственной близости от строящегося метро . Отличные подъезды , рядом Калужское шоссе , идеальное место для Ваших инвестиций . Прозрачная юридическая ситуация , в собственности более 10 лет , категория земель : земли населенных пунктов . Звоните , оперативный показ и полное юридическое сопровождение .</t>
  </si>
  <si>
    <t xml:space="preserve">Номер объекта: 547273. Предлагается к покупке земельный участок 7849 кв.м расположенный в г. Москва, г. Щербинка, Бутовский туп. Категория земель - Земли населенных пунктов. Вид разрешенного использования - Под размещение производственной базы, участки смешанного размещения объектов: участки смешанного размещения производственных объектов различного вида (1.2.9). Hа учacткe железная дopога: 700 погoнных мeтрa, три тупика (oдин повышeнный для выгрузки полувaгoнов), автомобильные весы на 60 тонн.</t>
  </si>
  <si>
    <t xml:space="preserve">Продается земельный участок площадью 24 978 кв. м (2,5 га) в поселении Внуковское (город Москва). Участок имеет статус актуальные и предназначен для размещения складских помещений, а также для складирования и оптовой реализации строительных материалов. Участок расположен в зоне с активно развивающейся дорожной инфраструктурой Новой Москвы, что делает его крайне привлекательным для логистических и складских операций. Отличный вариант для размещения логистического центра, склада или базы строитель</t>
  </si>
  <si>
    <t xml:space="preserve">Эксклюзивное предложение! Земельный участок на территории Новой Москва, пос. Филимонковское. Общая площадь участка 79 соток (7918 кв.м.), категория земельного участка: земли населенных пунктов. Участок интересного ландшафта, есть ровная поляна под застройку, правая часть с уклоном и собственный лес на участке (порядка 30% участка). Можно организовать два въезда на участок. Коммуникации: по границе проходят центральные электричество, водопровод, канализация, газ. В окружении участка: с левой стор</t>
  </si>
  <si>
    <t xml:space="preserve">Продается производственно- складской комлекс на земельном участке общей площадью 1,34 Га в Москве, район Троицка в 9 км от МКАД по Калужскому шоссе. Категория земель: земли населенных пунктов. Вид разрешенного использования: для размещения строительной базы. Коммуникации: на данном участке заведено электричество 150 Квт, при необходимости можно увеличить, газ по границе, газовая котельная установлена на соседней территории, вода- 2 собственные скважины, канализация- септик. На территории комплек</t>
  </si>
  <si>
    <t xml:space="preserve">Предлагается к продаже действующая пpоизводственно/складская базa,на земельном участке 3.25 Га( земля в Собственности), расположенная по адресу: г. Москва, Новомосковский административный окргу, р-н Коммунарка, пос. Воскресенское. - Возможность использовать под собственный бизнес, склад с админ частью, производство, производственно-складской комплекс или под арендный бизнес. - Производственная база расположена нa земeльнoм учаcтке общей площадью 3,25 га, на котором имеются здания( все с кадастро</t>
  </si>
  <si>
    <t xml:space="preserve">Продаётся действующая производственная база, оснащённая всеми необходимыми ресурсами для эффективного ведения бизнеса. На земельном участке расположены здания, каждое из которых занят активными арендаторами, обеспечивающими стабильность доходов. Производственная территория хорошо подготовлена: проложены асфальтированные дороги, созданы удобства для подъезда грузового транспорта, доступна вся необходимая инфраструктура. Участок расположен всего в 30 минутах от Мкад, что делает его привлекательным</t>
  </si>
  <si>
    <t xml:space="preserve">ЗелАО</t>
  </si>
  <si>
    <t xml:space="preserve">Савёлки</t>
  </si>
  <si>
    <t xml:space="preserve">Объект реализуется на городских торгах! Дополнительная информация и документы расположены на Инвестиционном портале города Москвы по ссылке: https://torgi. mos. ru/tender/20192560?utm_source=cian&amp;utm_medium=raz meshenie-obectov&amp;utm_campaign=commercialLandSale&amp;u tm_content=20192560</t>
  </si>
  <si>
    <t xml:space="preserve">К продаже предлагается земельный актив районе Щербинка (поселок Знамя Октября) — одной из самых быстрорастущих локаций Троицкого и Новомосковского административных округов (ТиНАО). Непосредственное окружение участка представлено многоэтажной жилой застройкой ЖК Остафьево. Здесь уже построена и функционирует вся необходимая для комфортной жизни инфраструктура: детские сады, школы, поликлиники, ТЦ, аптеки, кафе, салоны красоты. В пешей доступности от участка (15 минут пешком) расположен Музей-усад</t>
  </si>
  <si>
    <t xml:space="preserve">Адрес объекта отсутствует на Яндекс картах, поэтому указан ближайший. Точный адрес: Российская Федерация, город Москва, вн.тер. г. поселение Рязановское, квартал 42, земельный участок 2 КН 50:27:0020441:105 Продажа Производственно-складского Комплекса Собственность, ГПЗУ получен. Земельный участок S- 8490 м² Категория земель: Земли населенных пунктов, ЕГРН: Разрешенное использование: Объекты размещения коммерческих организаций, не связанных с проживанием населения (1.2.7), объекты размещения скл</t>
  </si>
  <si>
    <t xml:space="preserve">agricultural</t>
  </si>
  <si>
    <t xml:space="preserve">Продается участок для сельскохозяйственного производства. размещение зданий и сооружений, используемых для хранения и переработки сельскохозяйственной продукции. Адрес объекта отсутствует на Яндекс картах, поэтому указан ближайший. Точный адрес: Москва, Троицкий административный округ, Краснопахорский р-н, д. Поляны Калужское шоссе, 24 км. Участок по ВРИ: Сельскохозяйственное использование. Ведение сельского хозяйства. Содержание данного вида разрешенного использования включает в себя содержание</t>
  </si>
  <si>
    <t xml:space="preserve">Продаю инвестпроект под коттеджную застройку на берегу р. Десна в Новой Москве, 15 км от МКАД между Калужским и Варшавским шоссе. Вид права - аренда на 49 лет, ВРИ по ПЗЗ - ИЖС, по ЕГРН - с/х. Получены ГПЗУ. Отличная транспортная доступность, 10 мин тр. до ж/д ст. Остафьево (МЦД-2). Можно реализовать прекрасный проект коттеджного поселка бизнес-класса. Собственник, заплатим %.</t>
  </si>
  <si>
    <t xml:space="preserve">Продается участок по адресу город Москва, вн.тер.г. муниципальный округ Щербинка, поселок Знамя Октября, земельный участок 33 с кн 50:27:0020425:114 Здание с кн: 77:20:0020425:1632, 442,3 кв.м (сдано под хостел) ВРИ: Землепользование</t>
  </si>
  <si>
    <t xml:space="preserve">Продается ЗУ одним лотом по адресу город Москва, поселение Рязановское, д. Армазово, дом 1 с кн: 50:27:0020450:317- 2,0264 Га (ВРИ Для сельскохозяйственного производства) 50:27:0020450:316- 0,7454 Га (Для сельскохозяйственного производства). ЗУ в аренде на 49 лет.</t>
  </si>
  <si>
    <t xml:space="preserve">Продаётся участок под магазин 360 м2 в двух уровнях или жилой дом, на первой линии дороги, Баскаковская улица, деревня Мостовское. Все коммуникации на границе участка. Кадастровый номер 77:20:0020451:2236. Сейчас участок в Ижс, можно поставить жилой дом, уведомление о начале строительства получено.</t>
  </si>
  <si>
    <t xml:space="preserve">Крюково</t>
  </si>
  <si>
    <t xml:space="preserve">id:307. Представляем вашему вниманию уникальный объект недвижимости - просторный земельный участок промышленного назначения, который откроет перед вами широкие возможности для реализации самых амбициозных проектов! Это выгодное предложение для тех, кто хочет вложить средства в перспективную коммерческую недвижимость и получить максимальную отдачу от своего бизнеса. Такой земельный участок - это не просто недвижимость, это возможность создать успешный и прибыльный проект, который будет приносить </t>
  </si>
  <si>
    <t xml:space="preserve">Продается земельный участок площадью 7 402 кв. м. в г. Зеленоград, на котором организована и успешно работает действующая автомобильная парковка. Земля находится в собственности, бизнес функционирует и приносит стабильный арендный доход. На сегодняшний день заключены договоры на 170 машиномест, возможно увеличение. Парковка расположена на первой линии, напротив плотной современной жилой застройки, что обеспечивает отличную видимость объекта, удобный доступ и постоянный спрос со стороны жителей б</t>
  </si>
  <si>
    <t xml:space="preserve">Продается ЗУ по адресу: город Москва, мун. округ Щербинка, в районе д. Ерино. 17 км от МКАД по Варшавскому шоссе, 5 мин. тр. до ж/д ст. Остафьево и Силикатная (МЦД-2). Кадастровый номер 50:27:0020441:426 - 2,3342 Га. Вид права - аренда на 49 лет. ВРИ по ЕГРН: Для сельскохозяйственного производства. Функциональная зона по Генплану Москвы - производственная.</t>
  </si>
  <si>
    <t xml:space="preserve">Продается земельный участок площадью 8 821 кв. м в г. Зеленоград, на котором организована и успешно работает действующая автомобильная парковка. ОКУПАЕМОСТЬ 8 ЛЕТ! Земля находится в собственности, бизнес функционирует и приносит стабильный арендный доход. В настоящий момент на парковке занято 234 машиноместа. Имеется потенциал увеличения количества машиномест, что позволит пропорционально увеличить доходность арендного бизнеса. Парковка расположена рядом с новой жилой застройкой, где ощущается н</t>
  </si>
  <si>
    <t xml:space="preserve">Участок находится в 3-х минутах от метро Комунарка. Коммунарка Сити. Участок 0,6 Га, правильной формы. К/Н 77:17:0120316:56830. ВРИ офисно - торговое (все виды кроме жилья, складов и производства). Получен альбом АГР. Льгота МПТ до 5 млрд руб. Собственник</t>
  </si>
  <si>
    <t xml:space="preserve">ТАО (Троицкий)</t>
  </si>
  <si>
    <t xml:space="preserve">Земля коммерческого назначения Расстояние до двух строящихся стаций метро (2027 год) 1 км (10 минут пешком). Участок 30,14 соток. Назначение земли: магазины, общественное питание, деловое управление, банковская и страховая деятельность. Центральные городские сети: - холодного водоснабжения (1,12 (м/сут); - водоотведения; - электроснабжения (166 кВт);</t>
  </si>
  <si>
    <t xml:space="preserve">Продается одним лотом ЗУ по адресу город Москва, вн.тер.г. муниципальный округ Внуково, деревня Большое Свинорье, улица Черничная, земельный участок 63 с кн: 77:18:0170408:887- 0,0682 Га 77:18:0170408:363- 0,0732 Га 77:18:0170408:1364- 0,0503 Га ВРИ: Магазины. Размещение объектов капитального строительства, предназначенных для продажи товаров, торговая площадь которых составляет до 5000 кв. м. Стоимость указана вместе со стоимостью здания</t>
  </si>
  <si>
    <t xml:space="preserve">Код объекта: 1592856. Продаётся отличный земельный участок в Новой Москве, район Внуково, ТСН " Тимуркино " Участок площадью 15 соток , категория земель: земли населенных пунктов для сельскохозяйственного производства. На участке можно построить загородный дом по индивидуальному проекту. Участок имеет ровную прямоугольную форму. По границе стоят электрические столбы. Газ ( АОГВ) подведен к границе ТСН. Подъезд к участку — грунтовая дорога. Въезд в поселок через шлагбаум. Ведется круглосуточное н</t>
  </si>
  <si>
    <t xml:space="preserve">Продается земельный участок в районе д.Большое Свинорье, Марушкинского поселения ,МО. Земельные участок 77:18:0170408:401 площадью 0 1518 Га, вид права - собственность, разрешенное использование -зеленые насаждения, парки . Участки расположены севернее д.Большое Свинорье , имеют неправильную форму, представляю собой прибрежную полосу р.Свинорье и р.Незнайка . Есть съезд с Боровского.Земельные участки расположен в 27 км от г.Щербинки , в западном северо западном направлении.</t>
  </si>
  <si>
    <t xml:space="preserve">К продаже предлагается земельный участок (для коммерческих/промышленных целей): - Координаты: 55.5716096, 37.1514304 - Площадь: 17,45 га - КН: 50:26:0170803:179, 50:26:0170803:78, 50:26:0170803:77 - ВРИ: для сельскохозяйственного производства Имеются ТУ по газоснабжению Удобная транспортная доступность: - 24 км до МКАД (20 мин) по Киевскому шоссе - 3 км до станции МЦД-4 "Крекшино" и "Санино" (10 мин) - 15 км до аэропорта "Внуково" (15 мин)</t>
  </si>
  <si>
    <t xml:space="preserve">Участок под автомойку или ТЦ!</t>
  </si>
  <si>
    <t xml:space="preserve">Продается участок 31,48 соток расположенный в Новой Москве, вблизи Боровского шоссе. Виды разрешенного использования: - Магазины. Размещение объектов капитального строительства, предназначенных для продажи товаров, торговая площадь которых составляет до 5000 кв. м (4.4) - Заправка транспортных средств. Размещение автозаправочных станций; размещение магазинов сопутствующей торговли, зданий для организации общественного питания вкачестве объектов дорожного сервиса (4.9.1.1) - Автомобильные мойки. </t>
  </si>
  <si>
    <t xml:space="preserve">Продается участок коммерческого назначения 50 соток. Расположен в оживленном месте с удобным подъездом на трассе между Киевским шоссе и Троицком. Асфальтированный подъезд. Огорожен металлическим забором. На участке есть офисное здание из кирпича 200 м.кв. и складское помещение 200 м.кв. Электричество 200 кВт. На участке действующий бизнес: продажа строительной и сельхозтехники. Свободная продажа. Оперативный показ.</t>
  </si>
  <si>
    <t xml:space="preserve">Продается участок под малоэтажную застройку (9 этажей). Кадастровый номер: 77:18:0190414:3. Адрес: Российская Федерация, город Москва, вн.тер.г. поселение Первомайское, квартал 27, земельный участок 1А/1/. Разрешенное использование: многоэтажная жилая застройка (высотная застройка) (2.6) (земельные участки, предназначенные для размещения домов средне-этажной и многоэтажной жилой застройки (1.2.1)); образование и просвещение (3.5) (земельные участки, предназначенные для размещения административны</t>
  </si>
  <si>
    <t xml:space="preserve">Продается Лот из двух участков (5071м.+6886м.) общей площадью 11957м2. под промышленную застройку. Москва, ул. Академика Франка 11/3. два въезда. на территории своя ТП ( трансформаторная подстанция на 240кв.). ГПЗУ - ПОЛУЧЕНЫ. Самый центр Новой быстроразвивающейся Москвы. ** Строящаяся станция метро в 2.5 км. ** Гипермаркет Лента и Лемано про ( Леруа Мерлен) в пешей доступности. ** Нанотехнологический центр Техноспарк расположен напроти. ** Три жилые застройки с другой стороны/ ЖК Легенда, ЖК Тр</t>
  </si>
  <si>
    <t xml:space="preserve">Уникальный рекреационный проект: 1.2 га (120 соток) в Москве у воды под премиальный Эко-Парк или Глэмпинг-курорт Готовое девелоперское решение: Участок продается вместе с подробным, разработанным дизайнерами проектом благоустройства (зонирование, дорожно-тропиночная сеть, план посадки растений, расстановка малых архитектурных форм). Хотите запустить высокодоходный бизнес в сфере загородного отдыха, не ввязываясь в многолетние бюрократические согласования капитального строительства и суды с ведом</t>
  </si>
  <si>
    <t xml:space="preserve">Право аренды на 49 лет участка по документам участок 1.61 га, но оставшаяся зона не пригодна для застройки (охранная зона Лэп) Через 3 года после покупки этого права можете подать на выкуп Или зарегистрировав здание, подать на выкуп Формально земля в с/х зоне, но согласно ГПЗУ есть другие основные виды разрешенного использования: ИЖС, ЛПХ, садоводство. Можно сменить назначение в уведомительном порядке (подается через госуслуги занимает 2 недели).</t>
  </si>
  <si>
    <t xml:space="preserve">Продается земельный участок в районе д.Уварово, Первомайского пос., ТиНАО, г. Москва. Земельный участок 50:26:0000000:332 площадью 1,0141 Га, вид права - аренда на 49 лет, разрешенное использование - для иных сельскохозяйственных целей (ручей). Участок расположен южнее д. Уварово и д. Рогозинино. По Киевскому ш., далее поворот на Первомайское по шоссе Жаворонки-Троицк через п. Птичное, д. Рожново.</t>
  </si>
  <si>
    <t xml:space="preserve">Предлагаем вашему вниманию уникальный участок площадью 22,19 соток в живописной деревне Уварово! Это идеальное место для строительства вашего Коммерческого помещения, идеально там можно построить Магазин, текущий собственник вел переговоры с Пятерочной Преимущества участка: - окупаемость - 5-6 лет (сюда входит стоимость участка + строительство магазина на нем) - Площадь 22,19 соток — достаточно места для реализации ваших архитектурных идей. - Удобный подъезд к участку обеспечит легкий доступ в л</t>
  </si>
  <si>
    <t xml:space="preserve">Продается земельный участок 5,79 га в 28 км по Киевскому шоссе в Новой Москве, поселение Первомайское. Примыкает к КП Графские пруды и др. элитным коттеджным поселкам. КН 50:26:0190705:210, аренда на 49 лет, ВРИ: Сельскохозяйственное использование (под водными объектами). Идеально под рекреацию.</t>
  </si>
  <si>
    <t xml:space="preserve">"Продаются ЗУ суммарной площадью 1,29 га одним лотом по адресу: г. Москва, мун. округ Филимонковский, пос. Первомайское, КН 77:18:0000000:38985 площадью 0,9776 Га и 77:18:0000000:38986 площадью 0,3109 Га. ВРИ: 2.1 - Для ИЖС; 2.2 - Для ведения ЛПХ; 3.1.1 - Предоставление коммунальных услуг; 12.0.1 - Улично-дорожная сеть; 12.0.2 - Благоустройство территории; 13.1 - Ведение огородничества; 13.2 - Ведение садоводства. На участке расположены строения зернохранилищ, рядом ТП-279 (630 кВА). Участки при</t>
  </si>
  <si>
    <t xml:space="preserve">Продается земельный участок 44,6 Га под Питомник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 размещение сооружений, необходимых для указанных видов с/х производства). Участок находится по адресу: Москва, пос Первомайское, квартал 311. На территории участка проложены сети магистральных газопроводов (АО "Мосгаз" и ООО "Газпром трансгаз Москва") и нефтепроводов (АО "ТрансНефть-</t>
  </si>
  <si>
    <t xml:space="preserve">Вашему вниманию предлагается земeльный учaсток промышленного назначения, площадью 1,68 Га. Нa учacткe cвoи KТП , под данный участок выделяем 300 кВт. Eсть вoзможнoсть выдeлить бoльшe из закpеплeнной мощнocти. Газ на учаcтке, еcть ТУ. Гopодскoй водопpoвод на учacтке. Проведены необходимые исследования и изыскания для получения разрешения на строительство. Окажем помощь в получении РНС. Есть возможность подключения к городским теплотрассе и канализации. Вся сумма в договоре (ЮЛ). Отличные подъездн</t>
  </si>
  <si>
    <t xml:space="preserve">Вашему вниманию предлагается земeльный учaсток промышленного назначения, 4.5 Га с расположенными: ангар 2000кв.м (отапливаемый), строящееся здание 6000 кв.м. класс А высота потолка 10.5 м. (разрешения на строительство, на 13 000 кв.м., и сопутствующие документы, получены). ВРИ 6.0. - пpомышлeнно-прoизвoдственнaя дeятельнocть. КН 77:22:0020331:16 Участок расположен по границе с городским округом Подольск. Нa учacткe cвoи KТП , электричество 1.5 мВт., газ на учаcтке, еcть ТУ. Гopодскoй водопpoвод </t>
  </si>
  <si>
    <t xml:space="preserve">Участок 4,5 Га (КН 77:22:0020331:16) производственно-складского назначения в границах Новой Москвы. Участок в собственности (!). Выгодное расположение, удобное размещение. Варшавское шоссе, 24 км от Мкад, 6 км, от Цкад. Участок с подведенными коммуникациями: - Электроснабжение — установленные ТП 1,5 мвт (!) С возможностью увеличения до 3 мвт (есть ТУ на дополнительную линию 1,5 мвт). - Центральные Хвс и Газ (В границах участка). - Действующие ТУ центральных Кнс и Отопления. - Выполненное примыка</t>
  </si>
  <si>
    <t xml:space="preserve">Уникальный номер помещения - 11621-341. Промышленная земля для малого и среднего бизнеса под производственные или логистические цели. Удобное расположение: 30 км. до МКАД. Добавьте объявление в избранное, чтобы не упустить выгодное предложение! Подойдет для постройки объектов индустриальной недвижимости Автономные коммуникации Получен РНС Удобный заезд. Все условия для комфортной работы. Подробности по запросу Почему стоит обращаться к нам: 1) Работаем с 2014 года 2) Специализируемся только на и</t>
  </si>
  <si>
    <t xml:space="preserve">Продается земельный участок площадью 9 223 кв. м в Москве, г. Троицк, ул. Академика Франка. 1,25 МВт, собственная ТП, коммуникации. Участок расположен в активно развивающейся промышленно-деловой зоне Новой Москвы и идеально подходит для реализации инвестиционного или производственного проекта. Основные преимущества Москва (ТиНАО), г. Троицк; площадь участка — 9 223 кв. м; собственная трансформаторная подстанция; выделенная электрическая мощность — 1,25 МВт; инженерные коммуникации по границе уча</t>
  </si>
  <si>
    <t xml:space="preserve">Земeльный учaсток промышленного назначения (можно под склады), площадью 50 соток, в 20 км от МКАД по Симферопольскому или Варшавскому шоссе. Отличная логистика. Газ на учаcтке, есть возможность подключения к городским теплотрассе и канализации. Дорога асфальтирована. Вся сумма в договоре (ЮЛ). Детали по телефону.</t>
  </si>
  <si>
    <t xml:space="preserve">Продается участок 23,9 соток в Новой Москве, м.о. Филимонковский, 25 км от МКАД по Киевскому шоссе. Вокруг коттеджная застройка, рядом большой пруд. Кадастровый номер: 77:18:0180609:130. ВРИ: под застройку жилыми зданиями, объектами культурно-бытового и социального назначения. Рядом очистные сооружения, ВЗУ, производственная площадка. Подходит под коммерческую застройку.</t>
  </si>
  <si>
    <t xml:space="preserve">Кадастровый номер объекта 77:22:0030426:2987. Продается земельный участок промназначения площадью 7 Га на территории Новой Москвы, поселение Краснопахорское. Находится в непосредственной близости от Калужского шоссе и Цкад. Развитая инфраструктура Новой Москвы. Основные виды разрешенного строительства: -склады. -объекты торговли. -бытовое обслуживание. -легкая промышленность. -пищевая промышленность. -строительная промышленность. Для строительства производственных и административных зданий, стро</t>
  </si>
  <si>
    <t xml:space="preserve">Земля под базу отдыха, глэмпинг</t>
  </si>
  <si>
    <t xml:space="preserve">Новая Москва. Идеальное место для частной школы, детского оздоровительного лагеря, глэмпинга, базы отдыха и т.п. Отмежеванная территория более 7-ми гектаров бывшего пионерского лагеря Люблинского Литейно-Механического завода. Удобный подъезд с Варшавского шоссе по индивидуальной асфальтированной, освещаемой дороге. Красивое место, вековые деревья, вдоль участка река Моча. На территории находятся оформленные в собственность 21 объект недвижимости, общей площадью по документам 8082,1 м2 + в собств</t>
  </si>
  <si>
    <t xml:space="preserve">Прoдaется зeмeльный участок 83,5 соток под кoммеpческую застрoйку в дeрeвнe Теpexoвo, муниципального округа Краснопахорский, города Москва. Идeальное мecтo для Вaшегo бизнеca! Кaтeгoрия земель: зeмли нaсeленных пунктoв. Вид разрeшеннoго иcпользoвaния: для размещения административно-торговых зданий, промышленных, коммунальных и складских объектов, объектов инженерной и транспортной инфраструктур. Вид земельного участка: землепользование. Преимущества расположения: локация - Новая Москва, перспект</t>
  </si>
  <si>
    <t xml:space="preserve">Продается земельный участок пром назначения 75 соток кадастровый номер: 50:27:0030130:231, со зданием 904 кв м. Высота потолков здания 4,5 ., объект газифицирован , электричество 15 кВа, возможно увеличение мощности. Подходит под производство, склад,автосервис,гостиницу</t>
  </si>
  <si>
    <t xml:space="preserve">Продается земля, которая подходит как под коммерческое использование, так и под жилую застройку. Категория земель: земли населенных пунктов. Виды разрешенного использования: для индивидуального жилищного строительства и объектов культурно-бытового и социального назначения. На данный момент на участке функционирует конный клуб с возведенными складскими/офисными зданиями, который можно рассмотреть как готовый арендный бизнес. Асфальтированная дорога. Электрическая мощность 85.5 кВт. Адрес располож</t>
  </si>
  <si>
    <t xml:space="preserve">Свободная продажа участка! Расположение: 25 км. от МКАД по Калужскому шоссе, далее съезд на Подосинки. По документам 1 взрослый собственник, приобретал по договору купли-продажи в 2024г. за наличный расчет. Благоустройства: - Участок обнесен по периметру забором - Есть калитка и механические ворота - Есть водоснабжение (скважина) - Электричество 150 ВТ (трансформатор на участке) - Сделан дренаж, подняли участок на 50 см. - В течении 3х месяцев сделают бетонную дорогу (собственники уже сделали вз</t>
  </si>
  <si>
    <t xml:space="preserve">835977 Предлагается земельный участок 15 сот. в д. Рассудово. Преимущества: - развитая транспортная инфраструктура: 15 минут пешком от ст. "Рассудово", выезд на Киевское шоссе; - напротив крупный жилой массив, интенсивный пешеходный трафик; - есть проект на строительство, запрос жителей на строительство ТЦ; - участок прилегает к проезжей части. Технические характеристики: - площадь: 15 сот; - электроснабжение: 15 кВт по границе участка; - подъездные пути асфальтированы. Так как корректный адрес </t>
  </si>
  <si>
    <t xml:space="preserve">Арт. 141908333 УНИКАЛЬНОЕ ВЫГОДНОЕ ПРЕДЛОЖЕНИЕ! Продажа многофункционального комплекса 19 га (Калужское шоссе / Новая Москва) Назначение объекта и инвест-потенциал: объект спроектирован как универсальная площадка-конструктор для проведения разнонаправленных мероприятий. Подходит под следующие форматы использования: Резиденция компании / корпоративное представительство База отдыха (в том числе для детского отдыха) Элитная семейная усадьба Медицинский и реабилитационный центр Спортивная база Загор</t>
  </si>
  <si>
    <t xml:space="preserve">Арт. 127843316 Продается ЗЕМЕЛЬНЫЙ УЧАСТОК 6 ГА (два участка по 3 ГА)- основные виды разрешенного использования земельного участка: - Туристическое обслуживание. Размещение пансионатов, гостиниц, кемпингов, домов отдыха, не оказывающих услуги по лечению; размещение детских лагерей (5.2.1) На участке расположены и входят в стоимость три здания площадью 250-300 кв. м. + технические здания. Участки земли, общей площадью 6 гектар на берегу реки Волчек и в лесном массиве, всего в 45 км от Мкад по Кал</t>
  </si>
  <si>
    <t xml:space="preserve">Продается участок промышленного назначения под строительство складского комплекса. На территории заложена бетонная площадка. На все дополнительные вопросы отвечу по телефону. Звоните.</t>
  </si>
  <si>
    <t xml:space="preserve">Тип</t>
  </si>
  <si>
    <t xml:space="preserve">₽ в месяц</t>
  </si>
  <si>
    <t xml:space="preserve">₽ за м² в месяц</t>
  </si>
  <si>
    <t xml:space="preserve">shoppingAreaRent</t>
  </si>
  <si>
    <t xml:space="preserve">Сокольническая, 9</t>
  </si>
  <si>
    <t xml:space="preserve">officeRent</t>
  </si>
  <si>
    <t xml:space="preserve">Стромынка, 4к1</t>
  </si>
  <si>
    <t xml:space="preserve">freeAppointmentObjectRent</t>
  </si>
  <si>
    <t xml:space="preserve">Бабаевская, 4С1</t>
  </si>
  <si>
    <t xml:space="preserve">warehouseRent</t>
  </si>
  <si>
    <t xml:space="preserve">Русаковская, 31</t>
  </si>
  <si>
    <t xml:space="preserve">industryRent</t>
  </si>
  <si>
    <t xml:space="preserve">Русаковская, 22</t>
  </si>
  <si>
    <t xml:space="preserve">Русаковская, 27</t>
  </si>
  <si>
    <t xml:space="preserve">1-я Боевская, 2/12С4</t>
  </si>
  <si>
    <t xml:space="preserve">Стромынка, 14К1</t>
  </si>
  <si>
    <t xml:space="preserve">Шумкина, 26АС2</t>
  </si>
  <si>
    <t xml:space="preserve">Гастелло, 37</t>
  </si>
  <si>
    <t xml:space="preserve">Русаковская, 13</t>
  </si>
  <si>
    <t xml:space="preserve">buildingRent</t>
  </si>
  <si>
    <t xml:space="preserve">Матросская Тишина, 23к4</t>
  </si>
  <si>
    <t xml:space="preserve">Матросская Тишина, 23/7С6</t>
  </si>
  <si>
    <t xml:space="preserve">5-й Лучевой, 1</t>
  </si>
  <si>
    <t xml:space="preserve">1-й Красносельский, 11</t>
  </si>
  <si>
    <t xml:space="preserve">Шумкина, 14С13</t>
  </si>
  <si>
    <t xml:space="preserve">Попов, 4</t>
  </si>
  <si>
    <t xml:space="preserve">Русаковская, 4С1</t>
  </si>
  <si>
    <t xml:space="preserve">Верхняя Красносельская, 3А</t>
  </si>
  <si>
    <t xml:space="preserve">Верхняя Красносельская, 3Г</t>
  </si>
  <si>
    <t xml:space="preserve">Стромынка, 25С6</t>
  </si>
  <si>
    <t xml:space="preserve">Гаврикова, 2/38</t>
  </si>
  <si>
    <t xml:space="preserve">Электрозаводская, 27С6</t>
  </si>
  <si>
    <t xml:space="preserve">Электрозаводская, 27С7</t>
  </si>
  <si>
    <t xml:space="preserve">Лобачика, 11</t>
  </si>
  <si>
    <t xml:space="preserve">3-я Рыбинская, 17</t>
  </si>
  <si>
    <t xml:space="preserve">Спартаковский, 2С1</t>
  </si>
  <si>
    <t xml:space="preserve">Краснопрудная, 30-34С1</t>
  </si>
  <si>
    <t xml:space="preserve">Электрозаводская, 27С8</t>
  </si>
  <si>
    <t xml:space="preserve">Верхняя Красносельская, 11АС1</t>
  </si>
  <si>
    <t xml:space="preserve">3-я Рыбинская, 18С2</t>
  </si>
  <si>
    <t xml:space="preserve">Электрозаводская, 27С2</t>
  </si>
  <si>
    <t xml:space="preserve">Электрозаводская, 27С5</t>
  </si>
  <si>
    <t xml:space="preserve">Малая Семеновская, 3АС1</t>
  </si>
  <si>
    <t xml:space="preserve">Электрозаводская, 24С1</t>
  </si>
  <si>
    <t xml:space="preserve">3-я Рыбинская, 18с22</t>
  </si>
  <si>
    <t xml:space="preserve">Электрозаводская, 27С1</t>
  </si>
  <si>
    <t xml:space="preserve">Электрозаводская, 27С9</t>
  </si>
  <si>
    <t xml:space="preserve">Верхняя Красносельская, 3С1</t>
  </si>
  <si>
    <t xml:space="preserve">Верхняя Красносельская, 16</t>
  </si>
  <si>
    <t xml:space="preserve">Краснопрудная, 26</t>
  </si>
  <si>
    <t xml:space="preserve">Электрозаводская, 24</t>
  </si>
  <si>
    <t xml:space="preserve">Верхняя Красносельская, 8К3</t>
  </si>
  <si>
    <t xml:space="preserve">Нижняя Красносельская, 13С1</t>
  </si>
  <si>
    <t xml:space="preserve">Верхняя Красносельская, 2/1С1</t>
  </si>
  <si>
    <t xml:space="preserve">Потешная, 4</t>
  </si>
  <si>
    <t xml:space="preserve">Нижняя Красносельская, 21</t>
  </si>
  <si>
    <t xml:space="preserve">Малая Семеновская, 9С9</t>
  </si>
  <si>
    <t xml:space="preserve">Электрозаводская, 52С1</t>
  </si>
  <si>
    <t xml:space="preserve">Краснопрудная, 22-24</t>
  </si>
  <si>
    <t xml:space="preserve">Верхняя Красносельская, 10к7а</t>
  </si>
  <si>
    <t xml:space="preserve">1-я Рыбинская, 1</t>
  </si>
  <si>
    <t xml:space="preserve">Суворовская, 8</t>
  </si>
  <si>
    <t xml:space="preserve">Преображенская, 7АС1</t>
  </si>
  <si>
    <t xml:space="preserve">Суворовская, 10</t>
  </si>
  <si>
    <t xml:space="preserve">3-й Красносельский, 21С1</t>
  </si>
  <si>
    <t xml:space="preserve">Краснопрудная, 7-9</t>
  </si>
  <si>
    <t xml:space="preserve">Суворовская, 12</t>
  </si>
  <si>
    <t xml:space="preserve">Верхняя Красносельская, 10АС1</t>
  </si>
  <si>
    <t xml:space="preserve">Сокольнический Вал, 3</t>
  </si>
  <si>
    <t xml:space="preserve">Краснопрудная, 3-5С1</t>
  </si>
  <si>
    <t xml:space="preserve">Преображенская, 8</t>
  </si>
  <si>
    <t xml:space="preserve">Вариант</t>
  </si>
  <si>
    <t xml:space="preserve">₽ в год с НДС</t>
  </si>
  <si>
    <t xml:space="preserve">Срок</t>
  </si>
  <si>
    <t xml:space="preserve">Индексация</t>
  </si>
  <si>
    <t xml:space="preserve">Текущий договор до 30.11.2026</t>
  </si>
  <si>
    <t xml:space="preserve">11 лет</t>
  </si>
  <si>
    <t xml:space="preserve">0%</t>
  </si>
  <si>
    <t xml:space="preserve">КП №1 от 02.03.2026</t>
  </si>
  <si>
    <t xml:space="preserve">10 лет</t>
  </si>
  <si>
    <t xml:space="preserve">5%</t>
  </si>
  <si>
    <t xml:space="preserve">КП №2 от 22.04.2026</t>
  </si>
  <si>
    <t xml:space="preserve">5% + 190 тыс./мес экспл.</t>
  </si>
  <si>
    <t xml:space="preserve">КП по форме МФЦ от 15.05.2026</t>
  </si>
  <si>
    <t xml:space="preserve">5 лет</t>
  </si>
  <si>
    <t xml:space="preserve">3%</t>
  </si>
  <si>
    <t xml:space="preserve">После встречи 06.07.2026</t>
  </si>
  <si>
    <t xml:space="preserve">5–10 лет</t>
  </si>
  <si>
    <t xml:space="preserve">2%</t>
  </si>
  <si>
    <t xml:space="preserve">После встречи 05.08.2026</t>
  </si>
  <si>
    <t xml:space="preserve">Вариант №1 МФЦ от 01.09.2026</t>
  </si>
  <si>
    <t xml:space="preserve">3 года</t>
  </si>
  <si>
    <t xml:space="preserve">Вариант №2 МФЦ от 01.09.2026</t>
  </si>
  <si>
    <t xml:space="preserve">1 год</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</si>
</sst>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0"/>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9"/>
      <name val="Arial"/>
      <family val="0"/>
      <charset val="1"/>
    </font>
    <font>
      <sz val="9"/>
      <name val="Arial"/>
      <family val="0"/>
      <charset val="1"/>
    </font>
    <font>
      <sz val="8.5"/>
      <color rgb="FF555555"/>
      <name val="Arial"/>
      <family val="0"/>
      <charset val="1"/>
    </font>
    <font>
      <sz val="9"/>
      <color rgb="FF0000FF"/>
      <name val="Arial"/>
      <family val="0"/>
      <charset val="1"/>
    </font>
    <font>
      <u val="single"/>
      <sz val="9"/>
      <color rgb="FF1F4E9A"/>
      <name val="Arial"/>
      <family val="0"/>
      <charset val="1"/>
    </font>
    <font>
      <sz val="10"/>
      <name val="Arial"/>
      <family val="2"/>
    </font>
  </fonts>
  <fills count="4">
    <fill>
      <patternFill patternType="none"/>
    </fill>
    <fill>
      <patternFill patternType="gray125"/>
    </fill>
    <fill>
      <patternFill patternType="solid">
        <fgColor rgb="FFFFF2CC"/>
        <bgColor rgb="FFFFFFFF"/>
      </patternFill>
    </fill>
    <fill>
      <patternFill patternType="solid">
        <fgColor rgb="FFDDE3EA"/>
        <bgColor rgb="FFC8CDD3"/>
      </patternFill>
    </fill>
  </fills>
  <borders count="2">
    <border diagonalUp="false" diagonalDown="false">
      <left/>
      <right/>
      <top/>
      <bottom/>
      <diagonal/>
    </border>
    <border diagonalUp="false" diagonalDown="false">
      <left style="thin">
        <color rgb="FFC8CDD3"/>
      </left>
      <right style="thin">
        <color rgb="FFC8CDD3"/>
      </right>
      <top style="thin">
        <color rgb="FFC8CDD3"/>
      </top>
      <bottom style="thin">
        <color rgb="FFC8CD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E3EA"/>
          <bgColor rgb="FF000000"/>
        </patternFill>
      </fill>
    </dxf>
    <dxf>
      <fill>
        <patternFill patternType="solid">
          <bgColor rgb="FF000000"/>
        </patternFill>
      </fill>
    </dxf>
    <dxf>
      <fill>
        <patternFill patternType="solid">
          <fgColor rgb="FF1F4E9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DD3"/>
      <rgbColor rgb="FF808080"/>
      <rgbColor rgb="FF9999FF"/>
      <rgbColor rgb="FF993366"/>
      <rgbColor rgb="FFFFF2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9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cian.ru/sale/commercial/323011386/?mlSearchSessionGuid=3ac2b91ec48fa48ad74ab198ec843006" TargetMode="External"/><Relationship Id="rId3" Type="http://schemas.openxmlformats.org/officeDocument/2006/relationships/hyperlink" Target="https://www.cian.ru/sale/commercial/332617346/?mlSearchSessionGuid=3ac2b91ec48fa48ad74ab198ec843006" TargetMode="External"/><Relationship Id="rId4" Type="http://schemas.openxmlformats.org/officeDocument/2006/relationships/hyperlink" Target="https://www.cian.ru/sale/commercial/317611480/?mlSearchSessionGuid=b132bea00d2adfdcf32c0349d93bd4fe" TargetMode="External"/><Relationship Id="rId5" Type="http://schemas.openxmlformats.org/officeDocument/2006/relationships/hyperlink" Target="https://www.cian.ru/sale/commercial/334575746/?mlSearchSessionGuid=f83ce42be4e85d371ce24e079ac9cb59" TargetMode="External"/><Relationship Id="rId6" Type="http://schemas.openxmlformats.org/officeDocument/2006/relationships/hyperlink" Target="https://www.cian.ru/sale/commercial/333669809/?mlSearchSessionGuid=3ac2b91ec48fa48ad74ab198ec843006" TargetMode="External"/><Relationship Id="rId7" Type="http://schemas.openxmlformats.org/officeDocument/2006/relationships/hyperlink" Target="https://www.cian.ru/sale/commercial/334638013/?mlSearchSessionGuid=3ac2b91ec48fa48ad74ab198ec843006" TargetMode="External"/><Relationship Id="rId8" Type="http://schemas.openxmlformats.org/officeDocument/2006/relationships/hyperlink" Target="https://www.cian.ru/sale/commercial/333432976/?mlSearchSessionGuid=3ac2b91ec48fa48ad74ab198ec843006" TargetMode="External"/><Relationship Id="rId9" Type="http://schemas.openxmlformats.org/officeDocument/2006/relationships/hyperlink" Target="https://www.cian.ru/sale/commercial/322849082/?mlSearchSessionGuid=3ac2b91ec48fa48ad74ab198ec843006" TargetMode="External"/><Relationship Id="rId10" Type="http://schemas.openxmlformats.org/officeDocument/2006/relationships/hyperlink" Target="https://www.cian.ru/sale/commercial/328649553/?mlSearchSessionGuid=3ac2b91ec48fa48ad74ab198ec843006" TargetMode="External"/><Relationship Id="rId11" Type="http://schemas.openxmlformats.org/officeDocument/2006/relationships/hyperlink" Target="https://www.cian.ru/sale/commercial/334575896/?mlSearchSessionGuid=b132bea00d2adfdcf32c0349d93bd4fe" TargetMode="External"/><Relationship Id="rId12" Type="http://schemas.openxmlformats.org/officeDocument/2006/relationships/hyperlink" Target="https://www.cian.ru/sale/commercial/331803513/?mlSearchSessionGuid=3ac2b91ec48fa48ad74ab198ec843006" TargetMode="External"/><Relationship Id="rId13" Type="http://schemas.openxmlformats.org/officeDocument/2006/relationships/hyperlink" Target="https://www.cian.ru/sale/commercial/323692057/?mlSearchSessionGuid=b132bea00d2adfdcf32c0349d93bd4fe" TargetMode="External"/><Relationship Id="rId14" Type="http://schemas.openxmlformats.org/officeDocument/2006/relationships/hyperlink" Target="https://www.cian.ru/sale/commercial/331348350/?mlSearchSessionGuid=3ac2b91ec48fa48ad74ab198ec843006" TargetMode="External"/><Relationship Id="rId15" Type="http://schemas.openxmlformats.org/officeDocument/2006/relationships/hyperlink" Target="https://www.cian.ru/sale/commercial/331580718/?mlSearchSessionGuid=b132bea00d2adfdcf32c0349d93bd4fe" TargetMode="External"/><Relationship Id="rId16" Type="http://schemas.openxmlformats.org/officeDocument/2006/relationships/hyperlink" Target="https://www.cian.ru/sale/commercial/334521519/?mlSearchSessionGuid=3ac2b91ec48fa48ad74ab198ec843006" TargetMode="External"/><Relationship Id="rId17" Type="http://schemas.openxmlformats.org/officeDocument/2006/relationships/drawing" Target="../drawings/drawing1.xml"/><Relationship Id="rId18"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cian.ru/sale/commercial/331348350/?mlSearchSessionGuid=3ac2b91ec48fa48ad74ab198ec843006" TargetMode="External"/><Relationship Id="rId3" Type="http://schemas.openxmlformats.org/officeDocument/2006/relationships/hyperlink" Target="https://www.cian.ru/sale/commercial/331998933/?mlSearchSessionGuid=3ac2b91ec48fa48ad74ab198ec843006" TargetMode="External"/><Relationship Id="rId4" Type="http://schemas.openxmlformats.org/officeDocument/2006/relationships/hyperlink" Target="https://www.cian.ru/sale/commercial/332617346/?mlSearchSessionGuid=3ac2b91ec48fa48ad74ab198ec843006" TargetMode="External"/><Relationship Id="rId5" Type="http://schemas.openxmlformats.org/officeDocument/2006/relationships/hyperlink" Target="https://www.cian.ru/sale/commercial/334187339/?mlSearchSessionGuid=3ac2b91ec48fa48ad74ab198ec843006" TargetMode="External"/><Relationship Id="rId6" Type="http://schemas.openxmlformats.org/officeDocument/2006/relationships/hyperlink" Target="https://www.cian.ru/sale/commercial/333407108/?mlSearchSessionGuid=3ac2b91ec48fa48ad74ab198ec843006" TargetMode="External"/><Relationship Id="rId7" Type="http://schemas.openxmlformats.org/officeDocument/2006/relationships/hyperlink" Target="https://www.cian.ru/sale/commercial/323011386/?mlSearchSessionGuid=3ac2b91ec48fa48ad74ab198ec843006" TargetMode="External"/><Relationship Id="rId8" Type="http://schemas.openxmlformats.org/officeDocument/2006/relationships/hyperlink" Target="https://www.cian.ru/sale/commercial/331132863/?mlSearchSessionGuid=3ac2b91ec48fa48ad74ab198ec843006" TargetMode="External"/><Relationship Id="rId9" Type="http://schemas.openxmlformats.org/officeDocument/2006/relationships/hyperlink" Target="https://www.cian.ru/sale/commercial/332029732/?mlSearchSessionGuid=3ac2b91ec48fa48ad74ab198ec843006" TargetMode="External"/><Relationship Id="rId10" Type="http://schemas.openxmlformats.org/officeDocument/2006/relationships/hyperlink" Target="https://www.cian.ru/sale/commercial/334222990/?mlSearchSessionGuid=3ac2b91ec48fa48ad74ab198ec843006" TargetMode="External"/><Relationship Id="rId11" Type="http://schemas.openxmlformats.org/officeDocument/2006/relationships/hyperlink" Target="https://www.cian.ru/sale/commercial/332617461/?mlSearchSessionGuid=3ac2b91ec48fa48ad74ab198ec843006" TargetMode="External"/><Relationship Id="rId12" Type="http://schemas.openxmlformats.org/officeDocument/2006/relationships/hyperlink" Target="https://www.cian.ru/sale/commercial/334521519/?mlSearchSessionGuid=3ac2b91ec48fa48ad74ab198ec843006" TargetMode="External"/><Relationship Id="rId13" Type="http://schemas.openxmlformats.org/officeDocument/2006/relationships/hyperlink" Target="https://www.cian.ru/sale/commercial/323203435/?mlSearchSessionGuid=3ac2b91ec48fa48ad74ab198ec843006" TargetMode="External"/><Relationship Id="rId14" Type="http://schemas.openxmlformats.org/officeDocument/2006/relationships/hyperlink" Target="https://www.cian.ru/sale/commercial/317720310/?mlSearchSessionGuid=3ac2b91ec48fa48ad74ab198ec843006" TargetMode="External"/><Relationship Id="rId15" Type="http://schemas.openxmlformats.org/officeDocument/2006/relationships/hyperlink" Target="https://www.cian.ru/sale/commercial/317611480/?mlSearchSessionGuid=b132bea00d2adfdcf32c0349d93bd4fe" TargetMode="External"/><Relationship Id="rId16" Type="http://schemas.openxmlformats.org/officeDocument/2006/relationships/hyperlink" Target="https://www.cian.ru/sale/commercial/323692057/?mlSearchSessionGuid=b132bea00d2adfdcf32c0349d93bd4fe" TargetMode="External"/><Relationship Id="rId17" Type="http://schemas.openxmlformats.org/officeDocument/2006/relationships/hyperlink" Target="https://www.cian.ru/sale/commercial/331199745/?mlSearchSessionGuid=3ac2b91ec48fa48ad74ab198ec843006" TargetMode="External"/><Relationship Id="rId18" Type="http://schemas.openxmlformats.org/officeDocument/2006/relationships/hyperlink" Target="https://www.cian.ru/sale/commercial/334575746/?mlSearchSessionGuid=f83ce42be4e85d371ce24e079ac9cb59" TargetMode="External"/><Relationship Id="rId19" Type="http://schemas.openxmlformats.org/officeDocument/2006/relationships/hyperlink" Target="https://www.cian.ru/sale/commercial/331803513/?mlSearchSessionGuid=3ac2b91ec48fa48ad74ab198ec843006" TargetMode="External"/><Relationship Id="rId20" Type="http://schemas.openxmlformats.org/officeDocument/2006/relationships/hyperlink" Target="https://www.cian.ru/sale/commercial/330436079/?mlSearchSessionGuid=b132bea00d2adfdcf32c0349d93bd4fe" TargetMode="External"/><Relationship Id="rId21" Type="http://schemas.openxmlformats.org/officeDocument/2006/relationships/hyperlink" Target="https://www.cian.ru/sale/commercial/333669809/?mlSearchSessionGuid=3ac2b91ec48fa48ad74ab198ec843006" TargetMode="External"/><Relationship Id="rId22" Type="http://schemas.openxmlformats.org/officeDocument/2006/relationships/hyperlink" Target="https://www.cian.ru/sale/commercial/334638013/?mlSearchSessionGuid=3ac2b91ec48fa48ad74ab198ec843006" TargetMode="External"/><Relationship Id="rId23" Type="http://schemas.openxmlformats.org/officeDocument/2006/relationships/hyperlink" Target="https://www.cian.ru/sale/commercial/333432976/?mlSearchSessionGuid=3ac2b91ec48fa48ad74ab198ec843006" TargetMode="External"/><Relationship Id="rId24" Type="http://schemas.openxmlformats.org/officeDocument/2006/relationships/hyperlink" Target="https://www.cian.ru/sale/commercial/321147541/?mlSearchSessionGuid=b132bea00d2adfdcf32c0349d93bd4fe" TargetMode="External"/><Relationship Id="rId25" Type="http://schemas.openxmlformats.org/officeDocument/2006/relationships/hyperlink" Target="https://www.cian.ru/sale/commercial/322849082/?mlSearchSessionGuid=3ac2b91ec48fa48ad74ab198ec843006" TargetMode="External"/><Relationship Id="rId26" Type="http://schemas.openxmlformats.org/officeDocument/2006/relationships/hyperlink" Target="https://www.cian.ru/sale/commercial/328649553/?mlSearchSessionGuid=3ac2b91ec48fa48ad74ab198ec843006" TargetMode="External"/><Relationship Id="rId27" Type="http://schemas.openxmlformats.org/officeDocument/2006/relationships/hyperlink" Target="https://www.cian.ru/sale/commercial/331580718/?mlSearchSessionGuid=b132bea00d2adfdcf32c0349d93bd4fe" TargetMode="External"/><Relationship Id="rId28" Type="http://schemas.openxmlformats.org/officeDocument/2006/relationships/hyperlink" Target="https://www.cian.ru/sale/commercial/332617470/?mlSearchSessionGuid=b132bea00d2adfdcf32c0349d93bd4fe" TargetMode="External"/><Relationship Id="rId29" Type="http://schemas.openxmlformats.org/officeDocument/2006/relationships/hyperlink" Target="https://www.cian.ru/sale/commercial/332882108/?mlSearchSessionGuid=3ac2b91ec48fa48ad74ab198ec843006" TargetMode="External"/><Relationship Id="rId30" Type="http://schemas.openxmlformats.org/officeDocument/2006/relationships/hyperlink" Target="https://www.cian.ru/sale/commercial/334575896/?mlSearchSessionGuid=b132bea00d2adfdcf32c0349d93bd4fe" TargetMode="External"/><Relationship Id="rId31" Type="http://schemas.openxmlformats.org/officeDocument/2006/relationships/hyperlink" Target="https://www.cian.ru/sale/commercial/333719823/?mlSearchSessionGuid=b132bea00d2adfdcf32c0349d93bd4fe" TargetMode="External"/><Relationship Id="rId32" Type="http://schemas.openxmlformats.org/officeDocument/2006/relationships/hyperlink" Target="https://www.cian.ru/sale/commercial/305586843/?mlSearchSessionGuid=b132bea00d2adfdcf32c0349d93bd4fe" TargetMode="External"/><Relationship Id="rId33" Type="http://schemas.openxmlformats.org/officeDocument/2006/relationships/hyperlink" Target="https://www.cian.ru/sale/commercial/332212235/?mlSearchSessionGuid=b132bea00d2adfdcf32c0349d93bd4fe" TargetMode="External"/><Relationship Id="rId34" Type="http://schemas.openxmlformats.org/officeDocument/2006/relationships/hyperlink" Target="https://www.cian.ru/sale/commercial/332277172/?mlSearchSessionGuid=b132bea00d2adfdcf32c0349d93bd4fe" TargetMode="External"/><Relationship Id="rId35" Type="http://schemas.openxmlformats.org/officeDocument/2006/relationships/hyperlink" Target="https://www.cian.ru/sale/commercial/334932232/?mlSearchSessionGuid=b132bea00d2adfdcf32c0349d93bd4fe" TargetMode="External"/><Relationship Id="rId36" Type="http://schemas.openxmlformats.org/officeDocument/2006/relationships/hyperlink" Target="https://www.cian.ru/sale/commercial/334652204/?mlSearchSessionGuid=3ac2b91ec48fa48ad74ab198ec843006" TargetMode="External"/><Relationship Id="rId37" Type="http://schemas.openxmlformats.org/officeDocument/2006/relationships/hyperlink" Target="https://www.cian.ru/sale/commercial/334575744/?mlSearchSessionGuid=f83ce42be4e85d371ce24e079ac9cb59" TargetMode="External"/><Relationship Id="rId38" Type="http://schemas.openxmlformats.org/officeDocument/2006/relationships/hyperlink" Target="https://www.cian.ru/sale/commercial/282543763/?mlSearchSessionGuid=b132bea00d2adfdcf32c0349d93bd4fe" TargetMode="External"/><Relationship Id="rId39" Type="http://schemas.openxmlformats.org/officeDocument/2006/relationships/hyperlink" Target="https://www.cian.ru/sale/commercial/332512369/?mlSearchSessionGuid=3ac2b91ec48fa48ad74ab198ec843006" TargetMode="External"/><Relationship Id="rId40" Type="http://schemas.openxmlformats.org/officeDocument/2006/relationships/hyperlink" Target="https://www.cian.ru/sale/commercial/286410372/?mlSearchSessionGuid=b132bea00d2adfdcf32c0349d93bd4fe" TargetMode="External"/><Relationship Id="rId41" Type="http://schemas.openxmlformats.org/officeDocument/2006/relationships/hyperlink" Target="https://www.cian.ru/sale/commercial/331277126/?mlSearchSessionGuid=b132bea00d2adfdcf32c0349d93bd4fe" TargetMode="External"/><Relationship Id="rId42" Type="http://schemas.openxmlformats.org/officeDocument/2006/relationships/hyperlink" Target="https://www.cian.ru/sale/commercial/323025236/?mlSearchSessionGuid=b132bea00d2adfdcf32c0349d93bd4fe" TargetMode="External"/><Relationship Id="rId43" Type="http://schemas.openxmlformats.org/officeDocument/2006/relationships/hyperlink" Target="https://www.cian.ru/sale/commercial/329908517/?mlSearchSessionGuid=3ac2b91ec48fa48ad74ab198ec843006" TargetMode="External"/><Relationship Id="rId44" Type="http://schemas.openxmlformats.org/officeDocument/2006/relationships/hyperlink" Target="https://www.cian.ru/sale/commercial/325950231/?mlSearchSessionGuid=b132bea00d2adfdcf32c0349d93bd4fe" TargetMode="External"/><Relationship Id="rId45" Type="http://schemas.openxmlformats.org/officeDocument/2006/relationships/hyperlink" Target="https://www.cian.ru/sale/commercial/331538478/?mlSearchSessionGuid=b132bea00d2adfdcf32c0349d93bd4fe" TargetMode="External"/><Relationship Id="rId46" Type="http://schemas.openxmlformats.org/officeDocument/2006/relationships/hyperlink" Target="https://www.cian.ru/sale/commercial/332617259/?mlSearchSessionGuid=3ac2b91ec48fa48ad74ab198ec843006" TargetMode="External"/><Relationship Id="rId47" Type="http://schemas.openxmlformats.org/officeDocument/2006/relationships/hyperlink" Target="https://www.cian.ru/sale/commercial/312768003/?mlSearchSessionGuid=b132bea00d2adfdcf32c0349d93bd4fe" TargetMode="External"/><Relationship Id="rId48" Type="http://schemas.openxmlformats.org/officeDocument/2006/relationships/hyperlink" Target="https://www.cian.ru/sale/commercial/310474501/?mlSearchSessionGuid=3ac2b91ec48fa48ad74ab198ec843006" TargetMode="External"/><Relationship Id="rId49" Type="http://schemas.openxmlformats.org/officeDocument/2006/relationships/hyperlink" Target="https://www.cian.ru/sale/commercial/335031268/?mlSearchSessionGuid=b132bea00d2adfdcf32c0349d93bd4fe" TargetMode="External"/><Relationship Id="rId50" Type="http://schemas.openxmlformats.org/officeDocument/2006/relationships/hyperlink" Target="https://www.cian.ru/sale/commercial/334966715/?mlSearchSessionGuid=b132bea00d2adfdcf32c0349d93bd4fe" TargetMode="External"/><Relationship Id="rId51" Type="http://schemas.openxmlformats.org/officeDocument/2006/relationships/hyperlink" Target="https://www.cian.ru/sale/commercial/331530367/?mlSearchSessionGuid=b132bea00d2adfdcf32c0349d93bd4fe" TargetMode="External"/><Relationship Id="rId52" Type="http://schemas.openxmlformats.org/officeDocument/2006/relationships/hyperlink" Target="https://www.cian.ru/sale/commercial/327893414/?mlSearchSessionGuid=b132bea00d2adfdcf32c0349d93bd4fe" TargetMode="External"/><Relationship Id="rId53" Type="http://schemas.openxmlformats.org/officeDocument/2006/relationships/hyperlink" Target="https://www.cian.ru/sale/commercial/332836090/?mlSearchSessionGuid=b132bea00d2adfdcf32c0349d93bd4fe" TargetMode="External"/><Relationship Id="rId54" Type="http://schemas.openxmlformats.org/officeDocument/2006/relationships/hyperlink" Target="https://www.cian.ru/sale/commercial/333606806/?mlSearchSessionGuid=b132bea00d2adfdcf32c0349d93bd4fe" TargetMode="External"/><Relationship Id="rId55" Type="http://schemas.openxmlformats.org/officeDocument/2006/relationships/hyperlink" Target="https://www.cian.ru/sale/commercial/330462119/?mlSearchSessionGuid=b132bea00d2adfdcf32c0349d93bd4fe" TargetMode="External"/><Relationship Id="rId56" Type="http://schemas.openxmlformats.org/officeDocument/2006/relationships/hyperlink" Target="https://www.cian.ru/sale/commercial/324142511/?mlSearchSessionGuid=b132bea00d2adfdcf32c0349d93bd4fe" TargetMode="External"/><Relationship Id="rId57" Type="http://schemas.openxmlformats.org/officeDocument/2006/relationships/hyperlink" Target="https://www.cian.ru/sale/commercial/328933051/?mlSearchSessionGuid=b132bea00d2adfdcf32c0349d93bd4fe" TargetMode="External"/><Relationship Id="rId58" Type="http://schemas.openxmlformats.org/officeDocument/2006/relationships/hyperlink" Target="https://www.cian.ru/sale/commercial/331530365/?mlSearchSessionGuid=b132bea00d2adfdcf32c0349d93bd4fe" TargetMode="External"/><Relationship Id="rId59" Type="http://schemas.openxmlformats.org/officeDocument/2006/relationships/hyperlink" Target="https://www.cian.ru/sale/commercial/330437489/?mlSearchSessionGuid=b132bea00d2adfdcf32c0349d93bd4fe" TargetMode="External"/><Relationship Id="rId60" Type="http://schemas.openxmlformats.org/officeDocument/2006/relationships/hyperlink" Target="https://www.cian.ru/sale/commercial/334575796/?mlSearchSessionGuid=f83ce42be4e85d371ce24e079ac9cb59" TargetMode="External"/><Relationship Id="rId61" Type="http://schemas.openxmlformats.org/officeDocument/2006/relationships/hyperlink" Target="https://www.cian.ru/sale/commercial/297844082/?mlSearchSessionGuid=b132bea00d2adfdcf32c0349d93bd4fe" TargetMode="External"/><Relationship Id="rId62" Type="http://schemas.openxmlformats.org/officeDocument/2006/relationships/hyperlink" Target="https://www.cian.ru/sale/commercial/331771856/?mlSearchSessionGuid=b132bea00d2adfdcf32c0349d93bd4fe" TargetMode="External"/><Relationship Id="rId63" Type="http://schemas.openxmlformats.org/officeDocument/2006/relationships/hyperlink" Target="https://www.cian.ru/sale/commercial/330437460/?mlSearchSessionGuid=3ac2b91ec48fa48ad74ab198ec843006" TargetMode="External"/><Relationship Id="rId64" Type="http://schemas.openxmlformats.org/officeDocument/2006/relationships/hyperlink" Target="https://www.cian.ru/sale/commercial/331277076/?mlSearchSessionGuid=3ac2b91ec48fa48ad74ab198ec843006" TargetMode="External"/><Relationship Id="rId65" Type="http://schemas.openxmlformats.org/officeDocument/2006/relationships/hyperlink" Target="https://www.cian.ru/sale/commercial/331277080/?mlSearchSessionGuid=3ac2b91ec48fa48ad74ab198ec843006" TargetMode="External"/><Relationship Id="rId66" Type="http://schemas.openxmlformats.org/officeDocument/2006/relationships/hyperlink" Target="https://www.cian.ru/sale/commercial/333710477/?mlSearchSessionGuid=b132bea00d2adfdcf32c0349d93bd4fe" TargetMode="External"/><Relationship Id="rId67" Type="http://schemas.openxmlformats.org/officeDocument/2006/relationships/hyperlink" Target="https://www.cian.ru/sale/commercial/332204807/?mlSearchSessionGuid=b132bea00d2adfdcf32c0349d93bd4fe" TargetMode="External"/><Relationship Id="rId68" Type="http://schemas.openxmlformats.org/officeDocument/2006/relationships/hyperlink" Target="https://www.cian.ru/sale/commercial/331277042/?mlSearchSessionGuid=b132bea00d2adfdcf32c0349d93bd4fe" TargetMode="External"/><Relationship Id="rId69" Type="http://schemas.openxmlformats.org/officeDocument/2006/relationships/hyperlink" Target="https://www.cian.ru/sale/commercial/334455619/?mlSearchSessionGuid=b132bea00d2adfdcf32c0349d93bd4fe" TargetMode="External"/><Relationship Id="rId70" Type="http://schemas.openxmlformats.org/officeDocument/2006/relationships/hyperlink" Target="https://www.cian.ru/sale/commercial/332695369/?mlSearchSessionGuid=b132bea00d2adfdcf32c0349d93bd4fe" TargetMode="External"/><Relationship Id="rId71" Type="http://schemas.openxmlformats.org/officeDocument/2006/relationships/hyperlink" Target="https://www.cian.ru/sale/commercial/324926534/?mlSearchSessionGuid=b132bea00d2adfdcf32c0349d93bd4fe" TargetMode="External"/><Relationship Id="rId72" Type="http://schemas.openxmlformats.org/officeDocument/2006/relationships/hyperlink" Target="https://www.cian.ru/sale/commercial/310224472/?mlSearchSessionGuid=3ac2b91ec48fa48ad74ab198ec843006" TargetMode="External"/><Relationship Id="rId73" Type="http://schemas.openxmlformats.org/officeDocument/2006/relationships/hyperlink" Target="https://www.cian.ru/sale/commercial/331198267/?mlSearchSessionGuid=3ac2b91ec48fa48ad74ab198ec843006" TargetMode="External"/><Relationship Id="rId74" Type="http://schemas.openxmlformats.org/officeDocument/2006/relationships/hyperlink" Target="https://www.cian.ru/sale/commercial/334861047/?mlSearchSessionGuid=b132bea00d2adfdcf32c0349d93bd4fe" TargetMode="External"/><Relationship Id="rId75" Type="http://schemas.openxmlformats.org/officeDocument/2006/relationships/hyperlink" Target="https://www.cian.ru/sale/commercial/329899324/?mlSearchSessionGuid=b132bea00d2adfdcf32c0349d93bd4fe" TargetMode="External"/><Relationship Id="rId76" Type="http://schemas.openxmlformats.org/officeDocument/2006/relationships/hyperlink" Target="https://www.cian.ru/sale/commercial/330467330/?mlSearchSessionGuid=b132bea00d2adfdcf32c0349d93bd4fe" TargetMode="External"/><Relationship Id="rId77" Type="http://schemas.openxmlformats.org/officeDocument/2006/relationships/hyperlink" Target="https://www.cian.ru/sale/commercial/306168925/?mlSearchSessionGuid=b132bea00d2adfdcf32c0349d93bd4fe" TargetMode="External"/><Relationship Id="rId78" Type="http://schemas.openxmlformats.org/officeDocument/2006/relationships/hyperlink" Target="https://www.cian.ru/sale/commercial/332696406/?mlSearchSessionGuid=b132bea00d2adfdcf32c0349d93bd4fe" TargetMode="External"/><Relationship Id="rId79" Type="http://schemas.openxmlformats.org/officeDocument/2006/relationships/hyperlink" Target="https://www.cian.ru/sale/commercial/331132858/?mlSearchSessionGuid=b132bea00d2adfdcf32c0349d93bd4fe" TargetMode="External"/><Relationship Id="rId80" Type="http://schemas.openxmlformats.org/officeDocument/2006/relationships/hyperlink" Target="https://www.cian.ru/sale/commercial/305375746/?mlSearchSessionGuid=b132bea00d2adfdcf32c0349d93bd4fe" TargetMode="External"/><Relationship Id="rId81" Type="http://schemas.openxmlformats.org/officeDocument/2006/relationships/hyperlink" Target="https://www.cian.ru/sale/commercial/328311500/?mlSearchSessionGuid=b132bea00d2adfdcf32c0349d93bd4fe" TargetMode="External"/><Relationship Id="rId82" Type="http://schemas.openxmlformats.org/officeDocument/2006/relationships/hyperlink" Target="https://www.cian.ru/sale/commercial/331198245/?mlSearchSessionGuid=b132bea00d2adfdcf32c0349d93bd4fe" TargetMode="External"/><Relationship Id="rId83" Type="http://schemas.openxmlformats.org/officeDocument/2006/relationships/hyperlink" Target="https://www.cian.ru/sale/commercial/330437443/?mlSearchSessionGuid=b132bea00d2adfdcf32c0349d93bd4fe" TargetMode="External"/><Relationship Id="rId84" Type="http://schemas.openxmlformats.org/officeDocument/2006/relationships/hyperlink" Target="https://www.cian.ru/sale/commercial/332700174/?mlSearchSessionGuid=b132bea00d2adfdcf32c0349d93bd4fe" TargetMode="External"/><Relationship Id="rId85" Type="http://schemas.openxmlformats.org/officeDocument/2006/relationships/hyperlink" Target="https://www.cian.ru/sale/commercial/331277051/?mlSearchSessionGuid=b132bea00d2adfdcf32c0349d93bd4fe" TargetMode="External"/><Relationship Id="rId86" Type="http://schemas.openxmlformats.org/officeDocument/2006/relationships/hyperlink" Target="https://www.cian.ru/sale/commercial/334544873/?mlSearchSessionGuid=b132bea00d2adfdcf32c0349d93bd4fe" TargetMode="External"/><Relationship Id="rId87" Type="http://schemas.openxmlformats.org/officeDocument/2006/relationships/hyperlink" Target="https://www.cian.ru/sale/commercial/326683373/?mlSearchSessionGuid=b132bea00d2adfdcf32c0349d93bd4fe" TargetMode="External"/><Relationship Id="rId88" Type="http://schemas.openxmlformats.org/officeDocument/2006/relationships/hyperlink" Target="https://www.cian.ru/sale/commercial/331277097/?mlSearchSessionGuid=b132bea00d2adfdcf32c0349d93bd4fe" TargetMode="External"/><Relationship Id="rId89" Type="http://schemas.openxmlformats.org/officeDocument/2006/relationships/hyperlink" Target="https://www.cian.ru/sale/commercial/330945476/?mlSearchSessionGuid=b132bea00d2adfdcf32c0349d93bd4fe" TargetMode="External"/><Relationship Id="rId90" Type="http://schemas.openxmlformats.org/officeDocument/2006/relationships/hyperlink" Target="https://www.cian.ru/sale/commercial/330957764/?mlSearchSessionGuid=b132bea00d2adfdcf32c0349d93bd4fe" TargetMode="External"/><Relationship Id="rId91" Type="http://schemas.openxmlformats.org/officeDocument/2006/relationships/hyperlink" Target="https://www.cian.ru/sale/commercial/330957762/?mlSearchSessionGuid=b132bea00d2adfdcf32c0349d93bd4fe" TargetMode="External"/><Relationship Id="rId92" Type="http://schemas.openxmlformats.org/officeDocument/2006/relationships/hyperlink" Target="https://www.cian.ru/sale/commercial/330957758/?mlSearchSessionGuid=b132bea00d2adfdcf32c0349d93bd4fe" TargetMode="External"/><Relationship Id="rId93" Type="http://schemas.openxmlformats.org/officeDocument/2006/relationships/hyperlink" Target="https://www.cian.ru/sale/commercial/334272389/?mlSearchSessionGuid=3ac2b91ec48fa48ad74ab198ec843006" TargetMode="External"/><Relationship Id="rId94" Type="http://schemas.openxmlformats.org/officeDocument/2006/relationships/hyperlink" Target="https://www.cian.ru/sale/commercial/330461942/?mlSearchSessionGuid=b132bea00d2adfdcf32c0349d93bd4fe" TargetMode="External"/><Relationship Id="rId95" Type="http://schemas.openxmlformats.org/officeDocument/2006/relationships/hyperlink" Target="https://www.cian.ru/sale/commercial/323417541/?mlSearchSessionGuid=b132bea00d2adfdcf32c0349d93bd4fe" TargetMode="External"/><Relationship Id="rId96" Type="http://schemas.openxmlformats.org/officeDocument/2006/relationships/hyperlink" Target="https://www.cian.ru/sale/commercial/331105707/?mlSearchSessionGuid=b132bea00d2adfdcf32c0349d93bd4fe" TargetMode="External"/><Relationship Id="rId97" Type="http://schemas.openxmlformats.org/officeDocument/2006/relationships/hyperlink" Target="https://www.cian.ru/sale/commercial/333226111/?mlSearchSessionGuid=b132bea00d2adfdcf32c0349d93bd4fe" TargetMode="External"/><Relationship Id="rId98" Type="http://schemas.openxmlformats.org/officeDocument/2006/relationships/hyperlink" Target="https://www.cian.ru/sale/commercial/331392300/?mlSearchSessionGuid=b132bea00d2adfdcf32c0349d93bd4fe" TargetMode="External"/><Relationship Id="rId99" Type="http://schemas.openxmlformats.org/officeDocument/2006/relationships/hyperlink" Target="https://www.cian.ru/sale/commercial/332499585/?mlSearchSessionGuid=b132bea00d2adfdcf32c0349d93bd4fe" TargetMode="External"/><Relationship Id="rId100" Type="http://schemas.openxmlformats.org/officeDocument/2006/relationships/hyperlink" Target="https://www.cian.ru/sale/commercial/331803538/?mlSearchSessionGuid=b132bea00d2adfdcf32c0349d93bd4fe" TargetMode="External"/><Relationship Id="rId101" Type="http://schemas.openxmlformats.org/officeDocument/2006/relationships/hyperlink" Target="https://www.cian.ru/sale/commercial/331277069/?mlSearchSessionGuid=b132bea00d2adfdcf32c0349d93bd4fe" TargetMode="External"/><Relationship Id="rId102" Type="http://schemas.openxmlformats.org/officeDocument/2006/relationships/hyperlink" Target="https://www.cian.ru/sale/commercial/317448280/?mlSearchSessionGuid=b132bea00d2adfdcf32c0349d93bd4fe" TargetMode="External"/><Relationship Id="rId103" Type="http://schemas.openxmlformats.org/officeDocument/2006/relationships/hyperlink" Target="https://www.cian.ru/sale/commercial/330461969/?mlSearchSessionGuid=3ac2b91ec48fa48ad74ab198ec843006" TargetMode="External"/><Relationship Id="rId104" Type="http://schemas.openxmlformats.org/officeDocument/2006/relationships/hyperlink" Target="https://www.cian.ru/sale/commercial/326985733/?mlSearchSessionGuid=b132bea00d2adfdcf32c0349d93bd4fe" TargetMode="External"/><Relationship Id="rId105" Type="http://schemas.openxmlformats.org/officeDocument/2006/relationships/hyperlink" Target="https://www.cian.ru/sale/commercial/334830734/?mlSearchSessionGuid=b132bea00d2adfdcf32c0349d93bd4fe" TargetMode="External"/><Relationship Id="rId106" Type="http://schemas.openxmlformats.org/officeDocument/2006/relationships/hyperlink" Target="https://www.cian.ru/sale/commercial/327950383/?mlSearchSessionGuid=b132bea00d2adfdcf32c0349d93bd4fe" TargetMode="External"/><Relationship Id="rId107" Type="http://schemas.openxmlformats.org/officeDocument/2006/relationships/hyperlink" Target="https://www.cian.ru/sale/commercial/335073449/?mlSearchSessionGuid=b132bea00d2adfdcf32c0349d93bd4fe" TargetMode="External"/><Relationship Id="rId108" Type="http://schemas.openxmlformats.org/officeDocument/2006/relationships/hyperlink" Target="https://www.cian.ru/sale/commercial/331277048/?mlSearchSessionGuid=b132bea00d2adfdcf32c0349d93bd4fe" TargetMode="External"/><Relationship Id="rId109" Type="http://schemas.openxmlformats.org/officeDocument/2006/relationships/hyperlink" Target="https://www.cian.ru/sale/commercial/331159058/?mlSearchSessionGuid=b132bea00d2adfdcf32c0349d93bd4fe" TargetMode="External"/><Relationship Id="rId110" Type="http://schemas.openxmlformats.org/officeDocument/2006/relationships/hyperlink" Target="https://www.cian.ru/sale/commercial/321649738/?mlSearchSessionGuid=3ac2b91ec48fa48ad74ab198ec843006" TargetMode="External"/><Relationship Id="rId111" Type="http://schemas.openxmlformats.org/officeDocument/2006/relationships/hyperlink" Target="https://www.cian.ru/sale/commercial/326581775/?mlSearchSessionGuid=b132bea00d2adfdcf32c0349d93bd4fe" TargetMode="External"/><Relationship Id="rId112" Type="http://schemas.openxmlformats.org/officeDocument/2006/relationships/hyperlink" Target="https://www.cian.ru/sale/commercial/334611337/?mlSearchSessionGuid=b132bea00d2adfdcf32c0349d93bd4fe" TargetMode="External"/><Relationship Id="rId113" Type="http://schemas.openxmlformats.org/officeDocument/2006/relationships/hyperlink" Target="https://www.cian.ru/sale/commercial/333797467/?mlSearchSessionGuid=3ac2b91ec48fa48ad74ab198ec843006" TargetMode="External"/><Relationship Id="rId114" Type="http://schemas.openxmlformats.org/officeDocument/2006/relationships/hyperlink" Target="https://www.cian.ru/sale/commercial/331159078/?mlSearchSessionGuid=b132bea00d2adfdcf32c0349d93bd4fe" TargetMode="External"/><Relationship Id="rId115" Type="http://schemas.openxmlformats.org/officeDocument/2006/relationships/hyperlink" Target="https://www.cian.ru/sale/commercial/334842817/?mlSearchSessionGuid=b132bea00d2adfdcf32c0349d93bd4fe" TargetMode="External"/><Relationship Id="rId116" Type="http://schemas.openxmlformats.org/officeDocument/2006/relationships/hyperlink" Target="https://www.cian.ru/sale/commercial/329660360/?mlSearchSessionGuid=b132bea00d2adfdcf32c0349d93bd4fe" TargetMode="External"/><Relationship Id="rId117" Type="http://schemas.openxmlformats.org/officeDocument/2006/relationships/drawing" Target="../drawings/drawing2.xml"/><Relationship Id="rId118"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s://www.cian.ru/sale/commercial/331348350/?mlSearchSessionGuid=3ac2b91ec48fa48ad74ab198ec843006" TargetMode="External"/><Relationship Id="rId2" Type="http://schemas.openxmlformats.org/officeDocument/2006/relationships/hyperlink" Target="https://www.cian.ru/sale/commercial/309295063/?mlSearchSessionGuid=3ac2b91ec48fa48ad74ab198ec843006" TargetMode="External"/><Relationship Id="rId3" Type="http://schemas.openxmlformats.org/officeDocument/2006/relationships/hyperlink" Target="https://www.cian.ru/sale/commercial/328722410/?mlSearchSessionGuid=3ac2b91ec48fa48ad74ab198ec843006" TargetMode="External"/><Relationship Id="rId4" Type="http://schemas.openxmlformats.org/officeDocument/2006/relationships/hyperlink" Target="https://www.cian.ru/sale/commercial/332617461/?mlSearchSessionGuid=3ac2b91ec48fa48ad74ab198ec843006" TargetMode="External"/><Relationship Id="rId5" Type="http://schemas.openxmlformats.org/officeDocument/2006/relationships/hyperlink" Target="https://www.cian.ru/sale/commercial/334521519/?mlSearchSessionGuid=3ac2b91ec48fa48ad74ab198ec843006" TargetMode="External"/><Relationship Id="rId6" Type="http://schemas.openxmlformats.org/officeDocument/2006/relationships/hyperlink" Target="https://www.cian.ru/sale/commercial/323203435/?mlSearchSessionGuid=3ac2b91ec48fa48ad74ab198ec843006" TargetMode="External"/><Relationship Id="rId7" Type="http://schemas.openxmlformats.org/officeDocument/2006/relationships/hyperlink" Target="https://www.cian.ru/sale/commercial/331199745/?mlSearchSessionGuid=3ac2b91ec48fa48ad74ab198ec843006" TargetMode="External"/><Relationship Id="rId8" Type="http://schemas.openxmlformats.org/officeDocument/2006/relationships/hyperlink" Target="https://www.cian.ru/sale/commercial/331333275/?mlSearchSessionGuid=3ac2b91ec48fa48ad74ab198ec843006" TargetMode="External"/><Relationship Id="rId9" Type="http://schemas.openxmlformats.org/officeDocument/2006/relationships/hyperlink" Target="https://www.cian.ru/sale/commercial/333562430/?mlSearchSessionGuid=3ac2b91ec48fa48ad74ab198ec843006" TargetMode="External"/><Relationship Id="rId10" Type="http://schemas.openxmlformats.org/officeDocument/2006/relationships/hyperlink" Target="https://www.cian.ru/sale/commercial/333565724/?mlSearchSessionGuid=3ac2b91ec48fa48ad74ab198ec843006" TargetMode="External"/><Relationship Id="rId11" Type="http://schemas.openxmlformats.org/officeDocument/2006/relationships/hyperlink" Target="https://www.cian.ru/sale/commercial/331510990/?mlSearchSessionGuid=3ac2b91ec48fa48ad74ab198ec843006" TargetMode="External"/><Relationship Id="rId12" Type="http://schemas.openxmlformats.org/officeDocument/2006/relationships/hyperlink" Target="https://www.cian.ru/sale/commercial/333534160/?mlSearchSessionGuid=3ac2b91ec48fa48ad74ab198ec843006" TargetMode="External"/><Relationship Id="rId13" Type="http://schemas.openxmlformats.org/officeDocument/2006/relationships/hyperlink" Target="https://www.cian.ru/sale/commercial/325104148/?mlSearchSessionGuid=3ac2b91ec48fa48ad74ab198ec843006" TargetMode="External"/><Relationship Id="rId14" Type="http://schemas.openxmlformats.org/officeDocument/2006/relationships/hyperlink" Target="https://www.cian.ru/sale/commercial/329911898/?mlSearchSessionGuid=3ac2b91ec48fa48ad74ab198ec843006" TargetMode="External"/><Relationship Id="rId15" Type="http://schemas.openxmlformats.org/officeDocument/2006/relationships/hyperlink" Target="https://www.cian.ru/sale/commercial/331591392/?mlSearchSessionGuid=3ac2b91ec48fa48ad74ab198ec843006" TargetMode="External"/><Relationship Id="rId16" Type="http://schemas.openxmlformats.org/officeDocument/2006/relationships/hyperlink" Target="https://www.cian.ru/sale/commercial/332617504/?mlSearchSessionGuid=3ac2b91ec48fa48ad74ab198ec843006" TargetMode="External"/><Relationship Id="rId17" Type="http://schemas.openxmlformats.org/officeDocument/2006/relationships/hyperlink" Target="https://www.cian.ru/sale/commercial/331580718/?mlSearchSessionGuid=b132bea00d2adfdcf32c0349d93bd4fe" TargetMode="External"/><Relationship Id="rId18" Type="http://schemas.openxmlformats.org/officeDocument/2006/relationships/hyperlink" Target="https://www.cian.ru/sale/commercial/332893709/?mlSearchSessionGuid=3ac2b91ec48fa48ad74ab198ec843006" TargetMode="External"/><Relationship Id="rId19" Type="http://schemas.openxmlformats.org/officeDocument/2006/relationships/hyperlink" Target="https://www.cian.ru/sale/commercial/323025236/?mlSearchSessionGuid=b132bea00d2adfdcf32c0349d93bd4fe" TargetMode="External"/><Relationship Id="rId20" Type="http://schemas.openxmlformats.org/officeDocument/2006/relationships/hyperlink" Target="https://www.cian.ru/sale/commercial/332617259/?mlSearchSessionGuid=3ac2b91ec48fa48ad74ab198ec843006" TargetMode="External"/><Relationship Id="rId21" Type="http://schemas.openxmlformats.org/officeDocument/2006/relationships/hyperlink" Target="https://www.cian.ru/sale/commercial/327893414/?mlSearchSessionGuid=b132bea00d2adfdcf32c0349d93bd4fe" TargetMode="External"/><Relationship Id="rId22" Type="http://schemas.openxmlformats.org/officeDocument/2006/relationships/hyperlink" Target="https://www.cian.ru/sale/commercial/331277080/?mlSearchSessionGuid=3ac2b91ec48fa48ad74ab198ec843006" TargetMode="External"/><Relationship Id="rId23" Type="http://schemas.openxmlformats.org/officeDocument/2006/relationships/hyperlink" Target="https://www.cian.ru/sale/commercial/331277042/?mlSearchSessionGuid=b132bea00d2adfdcf32c0349d93bd4fe" TargetMode="External"/><Relationship Id="rId24" Type="http://schemas.openxmlformats.org/officeDocument/2006/relationships/hyperlink" Target="https://www.cian.ru/sale/commercial/333534161/?mlSearchSessionGuid=3ac2b91ec48fa48ad74ab198ec843006" TargetMode="External"/><Relationship Id="rId25" Type="http://schemas.openxmlformats.org/officeDocument/2006/relationships/hyperlink" Target="https://www.cian.ru/sale/commercial/333223182/?mlSearchSessionGuid=3ac2b91ec48fa48ad74ab198ec843006" TargetMode="External"/><Relationship Id="rId26" Type="http://schemas.openxmlformats.org/officeDocument/2006/relationships/hyperlink" Target="https://www.cian.ru/sale/commercial/331105707/?mlSearchSessionGuid=b132bea00d2adfdcf32c0349d93bd4fe" TargetMode="External"/><Relationship Id="rId27" Type="http://schemas.openxmlformats.org/officeDocument/2006/relationships/hyperlink" Target="https://www.cian.ru/sale/commercial/333226983/?mlSearchSessionGuid=b132bea00d2adfdcf32c0349d93bd4fe" TargetMode="External"/><Relationship Id="rId28" Type="http://schemas.openxmlformats.org/officeDocument/2006/relationships/hyperlink" Target="https://www.cian.ru/sale/commercial/324037206/?mlSearchSessionGuid=3ac2b91ec48fa48ad74ab198ec843006" TargetMode="External"/><Relationship Id="rId29" Type="http://schemas.openxmlformats.org/officeDocument/2006/relationships/hyperlink" Target="https://www.cian.ru/sale/commercial/316374398/?mlSearchSessionGuid=3ac2b91ec48fa48ad74ab198ec843006" TargetMode="External"/><Relationship Id="rId30" Type="http://schemas.openxmlformats.org/officeDocument/2006/relationships/hyperlink" Target="https://www.cian.ru/sale/commercial/321649738/?mlSearchSessionGuid=3ac2b91ec48fa48ad74ab198ec843006" TargetMode="External"/><Relationship Id="rId31" Type="http://schemas.openxmlformats.org/officeDocument/2006/relationships/hyperlink" Target="https://www.cian.ru/sale/commercial/334611337/?mlSearchSessionGuid=b132bea00d2adfdcf32c0349d93bd4fe" TargetMode="External"/><Relationship Id="rId32" Type="http://schemas.openxmlformats.org/officeDocument/2006/relationships/hyperlink" Target="https://www.cian.ru/sale/commercial/331277109/?mlSearchSessionGuid=b132bea00d2adfdcf32c0349d93bd4fe" TargetMode="External"/><Relationship Id="rId33" Type="http://schemas.openxmlformats.org/officeDocument/2006/relationships/hyperlink" Target="https://www.cian.ru/sale/commercial/331110253/?mlSearchSessionGuid=b132bea00d2adfdcf32c0349d93bd4fe" TargetMode="External"/><Relationship Id="rId34" Type="http://schemas.openxmlformats.org/officeDocument/2006/relationships/hyperlink" Target="https://www.cian.ru/sale/commercial/333534159/?mlSearchSessionGuid=3ac2b91ec48fa48ad74ab198ec843006" TargetMode="External"/><Relationship Id="rId35" Type="http://schemas.openxmlformats.org/officeDocument/2006/relationships/hyperlink" Target="https://www.cian.ru/sale/commercial/328912113/?mlSearchSessionGuid=3ac2b91ec48fa48ad74ab198ec843006" TargetMode="External"/><Relationship Id="rId36" Type="http://schemas.openxmlformats.org/officeDocument/2006/relationships/hyperlink" Target="https://www.cian.ru/sale/commercial/333077189/?mlSearchSessionGuid=b132bea00d2adfdcf32c0349d93bd4fe" TargetMode="External"/><Relationship Id="rId37" Type="http://schemas.openxmlformats.org/officeDocument/2006/relationships/hyperlink" Target="https://www.cian.ru/sale/commercial/331765039/?mlSearchSessionGuid=3ac2b91ec48fa48ad74ab198ec843006" TargetMode="External"/><Relationship Id="rId38" Type="http://schemas.openxmlformats.org/officeDocument/2006/relationships/hyperlink" Target="https://www.cian.ru/sale/commercial/331277121/?mlSearchSessionGuid=b132bea00d2adfdcf32c0349d93bd4fe" TargetMode="External"/><Relationship Id="rId39" Type="http://schemas.openxmlformats.org/officeDocument/2006/relationships/hyperlink" Target="https://www.cian.ru/sale/commercial/332213336/?mlSearchSessionGuid=3ac2b91ec48fa48ad74ab198ec843006" TargetMode="External"/><Relationship Id="rId40" Type="http://schemas.openxmlformats.org/officeDocument/2006/relationships/hyperlink" Target="https://www.cian.ru/sale/commercial/321141559/?mlSearchSessionGuid=3ac2b91ec48fa48ad74ab198ec843006" TargetMode="External"/><Relationship Id="rId41" Type="http://schemas.openxmlformats.org/officeDocument/2006/relationships/hyperlink" Target="https://www.cian.ru/sale/commercial/332865724/?mlSearchSessionGuid=3ac2b91ec48fa48ad74ab198ec843006" TargetMode="External"/><Relationship Id="rId42" Type="http://schemas.openxmlformats.org/officeDocument/2006/relationships/hyperlink" Target="https://www.cian.ru/sale/commercial/333569588/?mlSearchSessionGuid=3ac2b91ec48fa48ad74ab198ec843006" TargetMode="External"/><Relationship Id="rId43" Type="http://schemas.openxmlformats.org/officeDocument/2006/relationships/hyperlink" Target="https://www.cian.ru/sale/commercial/331348338/?mlSearchSessionGuid=b132bea00d2adfdcf32c0349d93bd4fe" TargetMode="External"/><Relationship Id="rId44" Type="http://schemas.openxmlformats.org/officeDocument/2006/relationships/hyperlink" Target="https://www.cian.ru/sale/commercial/331277115/?mlSearchSessionGuid=b132bea00d2adfdcf32c0349d93bd4fe" TargetMode="External"/><Relationship Id="rId45" Type="http://schemas.openxmlformats.org/officeDocument/2006/relationships/hyperlink" Target="https://www.cian.ru/sale/commercial/332604347/?mlSearchSessionGuid=3ac2b91ec48fa48ad74ab198ec843006" TargetMode="External"/><Relationship Id="rId46" Type="http://schemas.openxmlformats.org/officeDocument/2006/relationships/hyperlink" Target="https://www.cian.ru/sale/commercial/333584490/?mlSearchSessionGuid=b132bea00d2adfdcf32c0349d93bd4fe" TargetMode="External"/><Relationship Id="rId47" Type="http://schemas.openxmlformats.org/officeDocument/2006/relationships/hyperlink" Target="https://www.cian.ru/sale/commercial/333570580/?mlSearchSessionGuid=b132bea00d2adfdcf32c0349d93bd4fe" TargetMode="External"/><Relationship Id="rId48" Type="http://schemas.openxmlformats.org/officeDocument/2006/relationships/hyperlink" Target="https://www.cian.ru/sale/commercial/331159088/?mlSearchSessionGuid=b132bea00d2adfdcf32c0349d93bd4fe" TargetMode="External"/><Relationship Id="rId49" Type="http://schemas.openxmlformats.org/officeDocument/2006/relationships/hyperlink" Target="https://www.cian.ru/sale/commercial/331198250/?mlSearchSessionGuid=b132bea00d2adfdcf32c0349d93bd4fe" TargetMode="External"/><Relationship Id="rId50" Type="http://schemas.openxmlformats.org/officeDocument/2006/relationships/hyperlink" Target="https://www.cian.ru/sale/commercial/331277058/?mlSearchSessionGuid=b132bea00d2adfdcf32c0349d93bd4fe" TargetMode="External"/><Relationship Id="rId51" Type="http://schemas.openxmlformats.org/officeDocument/2006/relationships/hyperlink" Target="https://www.cian.ru/sale/commercial/331159063/?mlSearchSessionGuid=b132bea00d2adfdcf32c0349d93bd4fe" TargetMode="External"/><Relationship Id="rId52" Type="http://schemas.openxmlformats.org/officeDocument/2006/relationships/hyperlink" Target="https://www.cian.ru/sale/commercial/331315946/?mlSearchSessionGuid=b132bea00d2adfdcf32c0349d93bd4fe" TargetMode="External"/><Relationship Id="rId53" Type="http://schemas.openxmlformats.org/officeDocument/2006/relationships/hyperlink" Target="https://www.cian.ru/sale/commercial/331803535/?mlSearchSessionGuid=b132bea00d2adfdcf32c0349d93bd4fe" TargetMode="External"/><Relationship Id="rId54" Type="http://schemas.openxmlformats.org/officeDocument/2006/relationships/hyperlink" Target="https://www.cian.ru/sale/commercial/334118274/?mlSearchSessionGuid=b132bea00d2adfdcf32c0349d93bd4fe" TargetMode="External"/><Relationship Id="rId55" Type="http://schemas.openxmlformats.org/officeDocument/2006/relationships/hyperlink" Target="https://www.cian.ru/sale/commercial/319990725/?mlSearchSessionGuid=b132bea00d2adfdcf32c0349d93bd4fe" TargetMode="External"/><Relationship Id="rId56" Type="http://schemas.openxmlformats.org/officeDocument/2006/relationships/hyperlink" Target="https://www.cian.ru/sale/commercial/331159130/?mlSearchSessionGuid=b132bea00d2adfdcf32c0349d93bd4fe" TargetMode="External"/><Relationship Id="rId57" Type="http://schemas.openxmlformats.org/officeDocument/2006/relationships/hyperlink" Target="https://www.cian.ru/sale/commercial/333550683/?mlSearchSessionGuid=b132bea00d2adfdcf32c0349d93bd4fe" TargetMode="External"/><Relationship Id="rId58" Type="http://schemas.openxmlformats.org/officeDocument/2006/relationships/hyperlink" Target="https://www.cian.ru/sale/commercial/331129062/?mlSearchSessionGuid=b132bea00d2adfdcf32c0349d93bd4fe" TargetMode="External"/><Relationship Id="rId59" Type="http://schemas.openxmlformats.org/officeDocument/2006/relationships/hyperlink" Target="https://www.cian.ru/sale/commercial/331358742/?mlSearchSessionGuid=b132bea00d2adfdcf32c0349d93bd4fe" TargetMode="External"/><Relationship Id="rId60" Type="http://schemas.openxmlformats.org/officeDocument/2006/relationships/hyperlink" Target="https://www.cian.ru/sale/commercial/328889749/?mlSearchSessionGuid=b132bea00d2adfdcf32c0349d93bd4fe" TargetMode="External"/><Relationship Id="rId61" Type="http://schemas.openxmlformats.org/officeDocument/2006/relationships/hyperlink" Target="https://www.cian.ru/sale/commercial/332836088/?mlSearchSessionGuid=b132bea00d2adfdcf32c0349d93bd4fe" TargetMode="External"/><Relationship Id="rId62" Type="http://schemas.openxmlformats.org/officeDocument/2006/relationships/hyperlink" Target="https://www.cian.ru/sale/commercial/331159134/?mlSearchSessionGuid=b132bea00d2adfdcf32c0349d93bd4fe" TargetMode="External"/><Relationship Id="rId63" Type="http://schemas.openxmlformats.org/officeDocument/2006/relationships/hyperlink" Target="https://www.cian.ru/sale/commercial/328824329/?mlSearchSessionGuid=b132bea00d2adfdcf32c0349d93bd4fe" TargetMode="External"/><Relationship Id="rId64" Type="http://schemas.openxmlformats.org/officeDocument/2006/relationships/hyperlink" Target="https://www.cian.ru/sale/commercial/333712748/?mlSearchSessionGuid=b132bea00d2adfdcf32c0349d93bd4fe" TargetMode="External"/><Relationship Id="rId65" Type="http://schemas.openxmlformats.org/officeDocument/2006/relationships/hyperlink" Target="https://www.cian.ru/sale/commercial/334022019/?mlSearchSessionGuid=b132bea00d2adfdcf32c0349d93bd4fe" TargetMode="External"/><Relationship Id="rId66" Type="http://schemas.openxmlformats.org/officeDocument/2006/relationships/hyperlink" Target="https://www.cian.ru/sale/commercial/327091274/?mlSearchSessionGuid=b132bea00d2adfdcf32c0349d93bd4fe" TargetMode="External"/><Relationship Id="rId67" Type="http://schemas.openxmlformats.org/officeDocument/2006/relationships/hyperlink" Target="https://www.cian.ru/sale/commercial/331315943/?mlSearchSessionGuid=b132bea00d2adfdcf32c0349d93bd4fe" TargetMode="External"/><Relationship Id="rId68" Type="http://schemas.openxmlformats.org/officeDocument/2006/relationships/hyperlink" Target="https://www.cian.ru/sale/commercial/331159117/?mlSearchSessionGuid=b132bea00d2adfdcf32c0349d93bd4fe" TargetMode="External"/><Relationship Id="rId69" Type="http://schemas.openxmlformats.org/officeDocument/2006/relationships/hyperlink" Target="https://www.cian.ru/sale/commercial/331152558/?mlSearchSessionGuid=b132bea00d2adfdcf32c0349d93bd4fe" TargetMode="External"/><Relationship Id="rId70" Type="http://schemas.openxmlformats.org/officeDocument/2006/relationships/hyperlink" Target="https://www.cian.ru/sale/commercial/335045517/?mlSearchSessionGuid=b132bea00d2adfdcf32c0349d93bd4fe" TargetMode="External"/><Relationship Id="rId71" Type="http://schemas.openxmlformats.org/officeDocument/2006/relationships/hyperlink" Target="https://www.cian.ru/sale/commercial/332696421/?mlSearchSessionGuid=b132bea00d2adfdcf32c0349d93bd4fe" TargetMode="External"/><Relationship Id="rId72" Type="http://schemas.openxmlformats.org/officeDocument/2006/relationships/hyperlink" Target="https://www.cian.ru/sale/commercial/331159133/?mlSearchSessionGuid=b132bea00d2adfdcf32c0349d93bd4fe" TargetMode="External"/><Relationship Id="rId73" Type="http://schemas.openxmlformats.org/officeDocument/2006/relationships/hyperlink" Target="https://www.cian.ru/sale/commercial/307671296/?mlSearchSessionGuid=b132bea00d2adfdcf32c0349d93bd4fe" TargetMode="External"/><Relationship Id="rId74" Type="http://schemas.openxmlformats.org/officeDocument/2006/relationships/hyperlink" Target="https://www.cian.ru/sale/commercial/331159081/?mlSearchSessionGuid=b132bea00d2adfdcf32c0349d93bd4fe" TargetMode="External"/><Relationship Id="rId75" Type="http://schemas.openxmlformats.org/officeDocument/2006/relationships/hyperlink" Target="https://www.cian.ru/sale/commercial/331198260/?mlSearchSessionGuid=b132bea00d2adfdcf32c0349d93bd4fe" TargetMode="External"/><Relationship Id="rId76" Type="http://schemas.openxmlformats.org/officeDocument/2006/relationships/hyperlink" Target="https://www.cian.ru/sale/commercial/334659579/?mlSearchSessionGuid=b132bea00d2adfdcf32c0349d93bd4fe" TargetMode="External"/><Relationship Id="rId77" Type="http://schemas.openxmlformats.org/officeDocument/2006/relationships/hyperlink" Target="https://www.cian.ru/sale/commercial/335008787/?mlSearchSessionGuid=b132bea00d2adfdcf32c0349d93bd4fe" TargetMode="External"/><Relationship Id="rId78" Type="http://schemas.openxmlformats.org/officeDocument/2006/relationships/hyperlink" Target="https://www.cian.ru/sale/commercial/331198247/?mlSearchSessionGuid=b132bea00d2adfdcf32c0349d93bd4fe" TargetMode="External"/><Relationship Id="rId79" Type="http://schemas.openxmlformats.org/officeDocument/2006/relationships/hyperlink" Target="https://www.cian.ru/sale/commercial/331580709/?mlSearchSessionGuid=b132bea00d2adfdcf32c0349d93bd4fe" TargetMode="External"/><Relationship Id="rId80" Type="http://schemas.openxmlformats.org/officeDocument/2006/relationships/hyperlink" Target="https://www.cian.ru/sale/commercial/334987537/?mlSearchSessionGuid=b132bea00d2adfdcf32c0349d93bd4fe" TargetMode="External"/><Relationship Id="rId81" Type="http://schemas.openxmlformats.org/officeDocument/2006/relationships/hyperlink" Target="https://www.cian.ru/sale/commercial/331159079/?mlSearchSessionGuid=b132bea00d2adfdcf32c0349d93bd4fe" TargetMode="External"/><Relationship Id="rId82" Type="http://schemas.openxmlformats.org/officeDocument/2006/relationships/hyperlink" Target="https://www.cian.ru/sale/commercial/333861147/?mlSearchSessionGuid=b132bea00d2adfdcf32c0349d93bd4fe" TargetMode="External"/><Relationship Id="rId83" Type="http://schemas.openxmlformats.org/officeDocument/2006/relationships/hyperlink" Target="https://www.cian.ru/sale/commercial/332471518/?mlSearchSessionGuid=b132bea00d2adfdcf32c0349d93bd4fe" TargetMode="External"/><Relationship Id="rId84" Type="http://schemas.openxmlformats.org/officeDocument/2006/relationships/hyperlink" Target="https://www.cian.ru/sale/commercial/331348346/?mlSearchSessionGuid=b132bea00d2adfdcf32c0349d93bd4fe" TargetMode="External"/><Relationship Id="rId85" Type="http://schemas.openxmlformats.org/officeDocument/2006/relationships/hyperlink" Target="https://www.cian.ru/sale/commercial/331159112/?mlSearchSessionGuid=b132bea00d2adfdcf32c0349d93bd4fe" TargetMode="External"/><Relationship Id="rId86" Type="http://schemas.openxmlformats.org/officeDocument/2006/relationships/hyperlink" Target="https://www.cian.ru/sale/commercial/331102849/?mlSearchSessionGuid=b132bea00d2adfdcf32c0349d93bd4fe" TargetMode="External"/><Relationship Id="rId87" Type="http://schemas.openxmlformats.org/officeDocument/2006/relationships/hyperlink" Target="https://www.cian.ru/sale/commercial/329995607/?mlSearchSessionGuid=b132bea00d2adfdcf32c0349d93bd4fe" TargetMode="External"/><Relationship Id="rId88" Type="http://schemas.openxmlformats.org/officeDocument/2006/relationships/hyperlink" Target="https://www.cian.ru/sale/commercial/331348345/?mlSearchSessionGuid=b132bea00d2adfdcf32c0349d93bd4fe" TargetMode="External"/><Relationship Id="rId89" Type="http://schemas.openxmlformats.org/officeDocument/2006/relationships/hyperlink" Target="https://www.cian.ru/sale/commercial/331803529/?mlSearchSessionGuid=b132bea00d2adfdcf32c0349d93bd4fe" TargetMode="External"/><Relationship Id="rId90" Type="http://schemas.openxmlformats.org/officeDocument/2006/relationships/hyperlink" Target="https://www.cian.ru/sale/commercial/334386114/?mlSearchSessionGuid=b132bea00d2adfdcf32c0349d93bd4fe" TargetMode="External"/><Relationship Id="rId91" Type="http://schemas.openxmlformats.org/officeDocument/2006/relationships/hyperlink" Target="https://www.cian.ru/sale/commercial/334475772/?mlSearchSessionGuid=f83ce42be4e85d371ce24e079ac9cb59" TargetMode="External"/><Relationship Id="rId92" Type="http://schemas.openxmlformats.org/officeDocument/2006/relationships/hyperlink" Target="https://www.cian.ru/sale/commercial/334575989/?mlSearchSessionGuid=f83ce42be4e85d371ce24e079ac9cb59" TargetMode="External"/><Relationship Id="rId93"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cian.ru/sale/commercial/331721981/?mlSearchSessionGuid=8000fa91f9cd2d013b654383861ce543" TargetMode="External"/><Relationship Id="rId2" Type="http://schemas.openxmlformats.org/officeDocument/2006/relationships/hyperlink" Target="https://www.cian.ru/sale/commercial/328834818/?mlSearchSessionGuid=8000fa91f9cd2d013b654383861ce543" TargetMode="External"/><Relationship Id="rId3" Type="http://schemas.openxmlformats.org/officeDocument/2006/relationships/hyperlink" Target="https://www.cian.ru/sale/commercial/334643903/?mlSearchSessionGuid=8000fa91f9cd2d013b654383861ce543" TargetMode="External"/><Relationship Id="rId4" Type="http://schemas.openxmlformats.org/officeDocument/2006/relationships/hyperlink" Target="https://www.cian.ru/sale/commercial/296392365/?mlSearchSessionGuid=8000fa91f9cd2d013b654383861ce543" TargetMode="External"/><Relationship Id="rId5" Type="http://schemas.openxmlformats.org/officeDocument/2006/relationships/hyperlink" Target="https://www.cian.ru/sale/commercial/327938890/?mlSearchSessionGuid=8000fa91f9cd2d013b654383861ce543" TargetMode="External"/><Relationship Id="rId6" Type="http://schemas.openxmlformats.org/officeDocument/2006/relationships/hyperlink" Target="https://www.cian.ru/sale/commercial/328843173/?mlSearchSessionGuid=8000fa91f9cd2d013b654383861ce543" TargetMode="External"/><Relationship Id="rId7" Type="http://schemas.openxmlformats.org/officeDocument/2006/relationships/hyperlink" Target="https://www.cian.ru/sale/commercial/326192196/?mlSearchSessionGuid=8000fa91f9cd2d013b654383861ce543" TargetMode="External"/><Relationship Id="rId8" Type="http://schemas.openxmlformats.org/officeDocument/2006/relationships/hyperlink" Target="https://www.cian.ru/sale/commercial/334889588/?mlSearchSessionGuid=8000fa91f9cd2d013b654383861ce543" TargetMode="External"/><Relationship Id="rId9" Type="http://schemas.openxmlformats.org/officeDocument/2006/relationships/hyperlink" Target="https://www.cian.ru/sale/commercial/331348779/?mlSearchSessionGuid=8000fa91f9cd2d013b654383861ce543" TargetMode="External"/><Relationship Id="rId10" Type="http://schemas.openxmlformats.org/officeDocument/2006/relationships/hyperlink" Target="https://www.cian.ru/sale/commercial/333889918/?mlSearchSessionGuid=8000fa91f9cd2d013b654383861ce543" TargetMode="External"/><Relationship Id="rId11" Type="http://schemas.openxmlformats.org/officeDocument/2006/relationships/hyperlink" Target="https://www.cian.ru/sale/commercial/334434394/?mlSearchSessionGuid=8000fa91f9cd2d013b654383861ce543" TargetMode="External"/><Relationship Id="rId12" Type="http://schemas.openxmlformats.org/officeDocument/2006/relationships/hyperlink" Target="https://www.cian.ru/sale/commercial/332355836/?mlSearchSessionGuid=8000fa91f9cd2d013b654383861ce543" TargetMode="External"/><Relationship Id="rId13" Type="http://schemas.openxmlformats.org/officeDocument/2006/relationships/hyperlink" Target="https://www.cian.ru/sale/commercial/192539485/?mlSearchSessionGuid=8000fa91f9cd2d013b654383861ce543" TargetMode="External"/><Relationship Id="rId14" Type="http://schemas.openxmlformats.org/officeDocument/2006/relationships/hyperlink" Target="https://www.cian.ru/sale/commercial/332610492/?mlSearchSessionGuid=8000fa91f9cd2d013b654383861ce543" TargetMode="External"/><Relationship Id="rId15" Type="http://schemas.openxmlformats.org/officeDocument/2006/relationships/hyperlink" Target="https://www.cian.ru/sale/commercial/328295784/?mlSearchSessionGuid=8000fa91f9cd2d013b654383861ce543" TargetMode="External"/><Relationship Id="rId16" Type="http://schemas.openxmlformats.org/officeDocument/2006/relationships/hyperlink" Target="https://www.cian.ru/sale/commercial/334567721/?mlSearchSessionGuid=8000fa91f9cd2d013b654383861ce543" TargetMode="External"/><Relationship Id="rId17" Type="http://schemas.openxmlformats.org/officeDocument/2006/relationships/hyperlink" Target="https://www.cian.ru/sale/commercial/332186074/?mlSearchSessionGuid=8000fa91f9cd2d013b654383861ce543" TargetMode="External"/><Relationship Id="rId18" Type="http://schemas.openxmlformats.org/officeDocument/2006/relationships/hyperlink" Target="https://www.cian.ru/sale/commercial/331579923/?mlSearchSessionGuid=8000fa91f9cd2d013b654383861ce543" TargetMode="External"/><Relationship Id="rId19" Type="http://schemas.openxmlformats.org/officeDocument/2006/relationships/hyperlink" Target="https://www.cian.ru/sale/commercial/332789922/?mlSearchSessionGuid=8000fa91f9cd2d013b654383861ce543" TargetMode="External"/><Relationship Id="rId20" Type="http://schemas.openxmlformats.org/officeDocument/2006/relationships/hyperlink" Target="https://www.cian.ru/sale/commercial/334969970/?mlSearchSessionGuid=8000fa91f9cd2d013b654383861ce543" TargetMode="External"/><Relationship Id="rId21" Type="http://schemas.openxmlformats.org/officeDocument/2006/relationships/hyperlink" Target="https://www.cian.ru/sale/commercial/324407002/?mlSearchSessionGuid=8000fa91f9cd2d013b654383861ce543" TargetMode="External"/><Relationship Id="rId22" Type="http://schemas.openxmlformats.org/officeDocument/2006/relationships/hyperlink" Target="https://www.cian.ru/sale/commercial/333449591/?mlSearchSessionGuid=8000fa91f9cd2d013b654383861ce543" TargetMode="External"/><Relationship Id="rId23" Type="http://schemas.openxmlformats.org/officeDocument/2006/relationships/hyperlink" Target="https://www.cian.ru/sale/commercial/332909253/?mlSearchSessionGuid=8000fa91f9cd2d013b654383861ce543" TargetMode="External"/><Relationship Id="rId24" Type="http://schemas.openxmlformats.org/officeDocument/2006/relationships/hyperlink" Target="https://www.cian.ru/sale/commercial/331327923/?mlSearchSessionGuid=8000fa91f9cd2d013b654383861ce543" TargetMode="External"/><Relationship Id="rId25" Type="http://schemas.openxmlformats.org/officeDocument/2006/relationships/hyperlink" Target="https://www.cian.ru/sale/commercial/330209210/?mlSearchSessionGuid=8000fa91f9cd2d013b654383861ce543" TargetMode="External"/><Relationship Id="rId26" Type="http://schemas.openxmlformats.org/officeDocument/2006/relationships/hyperlink" Target="https://www.cian.ru/sale/commercial/325071081/?mlSearchSessionGuid=8000fa91f9cd2d013b654383861ce543" TargetMode="External"/><Relationship Id="rId27" Type="http://schemas.openxmlformats.org/officeDocument/2006/relationships/hyperlink" Target="https://www.cian.ru/sale/commercial/334538130/?mlSearchSessionGuid=8000fa91f9cd2d013b654383861ce543" TargetMode="External"/><Relationship Id="rId28" Type="http://schemas.openxmlformats.org/officeDocument/2006/relationships/hyperlink" Target="https://www.cian.ru/sale/commercial/333398591/?mlSearchSessionGuid=8000fa91f9cd2d013b654383861ce543" TargetMode="External"/><Relationship Id="rId29" Type="http://schemas.openxmlformats.org/officeDocument/2006/relationships/hyperlink" Target="https://www.cian.ru/sale/commercial/285429175/?mlSearchSessionGuid=8000fa91f9cd2d013b654383861ce543" TargetMode="External"/><Relationship Id="rId30" Type="http://schemas.openxmlformats.org/officeDocument/2006/relationships/hyperlink" Target="https://www.cian.ru/sale/commercial/332695383/?mlSearchSessionGuid=8000fa91f9cd2d013b654383861ce543" TargetMode="External"/><Relationship Id="rId31" Type="http://schemas.openxmlformats.org/officeDocument/2006/relationships/hyperlink" Target="https://www.cian.ru/sale/commercial/333164370/?mlSearchSessionGuid=8000fa91f9cd2d013b654383861ce543" TargetMode="External"/><Relationship Id="rId32" Type="http://schemas.openxmlformats.org/officeDocument/2006/relationships/hyperlink" Target="https://www.cian.ru/sale/commercial/331538444/?mlSearchSessionGuid=8000fa91f9cd2d013b654383861ce543" TargetMode="External"/><Relationship Id="rId33" Type="http://schemas.openxmlformats.org/officeDocument/2006/relationships/hyperlink" Target="https://www.cian.ru/sale/commercial/332654065/?mlSearchSessionGuid=8000fa91f9cd2d013b654383861ce543" TargetMode="External"/><Relationship Id="rId34" Type="http://schemas.openxmlformats.org/officeDocument/2006/relationships/hyperlink" Target="https://www.cian.ru/sale/commercial/334447088/?mlSearchSessionGuid=8000fa91f9cd2d013b654383861ce543" TargetMode="External"/><Relationship Id="rId35" Type="http://schemas.openxmlformats.org/officeDocument/2006/relationships/hyperlink" Target="https://www.cian.ru/sale/commercial/323204547/?mlSearchSessionGuid=8000fa91f9cd2d013b654383861ce543" TargetMode="External"/><Relationship Id="rId36" Type="http://schemas.openxmlformats.org/officeDocument/2006/relationships/hyperlink" Target="https://www.cian.ru/sale/commercial/329766767/?mlSearchSessionGuid=8000fa91f9cd2d013b654383861ce543" TargetMode="External"/><Relationship Id="rId37" Type="http://schemas.openxmlformats.org/officeDocument/2006/relationships/hyperlink" Target="https://www.cian.ru/sale/commercial/333920334/?mlSearchSessionGuid=8000fa91f9cd2d013b654383861ce543" TargetMode="External"/><Relationship Id="rId38" Type="http://schemas.openxmlformats.org/officeDocument/2006/relationships/hyperlink" Target="https://www.cian.ru/sale/commercial/330209213/?mlSearchSessionGuid=8000fa91f9cd2d013b654383861ce543" TargetMode="External"/><Relationship Id="rId39" Type="http://schemas.openxmlformats.org/officeDocument/2006/relationships/hyperlink" Target="https://www.cian.ru/sale/commercial/334572433/?mlSearchSessionGuid=8000fa91f9cd2d013b654383861ce543" TargetMode="External"/><Relationship Id="rId40" Type="http://schemas.openxmlformats.org/officeDocument/2006/relationships/hyperlink" Target="https://www.cian.ru/sale/commercial/306954659/?mlSearchSessionGuid=8000fa91f9cd2d013b654383861ce543" TargetMode="External"/><Relationship Id="rId41" Type="http://schemas.openxmlformats.org/officeDocument/2006/relationships/hyperlink" Target="https://www.cian.ru/sale/commercial/334610165/?mlSearchSessionGuid=8000fa91f9cd2d013b654383861ce543" TargetMode="External"/><Relationship Id="rId42" Type="http://schemas.openxmlformats.org/officeDocument/2006/relationships/hyperlink" Target="https://www.cian.ru/sale/commercial/324650646/?mlSearchSessionGuid=8000fa91f9cd2d013b654383861ce543" TargetMode="External"/><Relationship Id="rId43" Type="http://schemas.openxmlformats.org/officeDocument/2006/relationships/hyperlink" Target="https://www.cian.ru/sale/commercial/323449400/?mlSearchSessionGuid=8000fa91f9cd2d013b654383861ce543" TargetMode="External"/><Relationship Id="rId44" Type="http://schemas.openxmlformats.org/officeDocument/2006/relationships/hyperlink" Target="https://www.cian.ru/sale/commercial/328840911/?mlSearchSessionGuid=8000fa91f9cd2d013b654383861ce543" TargetMode="External"/><Relationship Id="rId45" Type="http://schemas.openxmlformats.org/officeDocument/2006/relationships/hyperlink" Target="https://www.cian.ru/sale/commercial/331721983/?mlSearchSessionGuid=8000fa91f9cd2d013b654383861ce543" TargetMode="External"/><Relationship Id="rId46" Type="http://schemas.openxmlformats.org/officeDocument/2006/relationships/hyperlink" Target="https://www.cian.ru/sale/commercial/329995866/?mlSearchSessionGuid=8000fa91f9cd2d013b654383861ce543" TargetMode="External"/><Relationship Id="rId47" Type="http://schemas.openxmlformats.org/officeDocument/2006/relationships/hyperlink" Target="https://www.cian.ru/sale/commercial/326659405/?mlSearchSessionGuid=8000fa91f9cd2d013b654383861ce543" TargetMode="External"/><Relationship Id="rId48" Type="http://schemas.openxmlformats.org/officeDocument/2006/relationships/hyperlink" Target="https://www.cian.ru/sale/commercial/330123001/?mlSearchSessionGuid=8000fa91f9cd2d013b654383861ce543" TargetMode="External"/><Relationship Id="rId49" Type="http://schemas.openxmlformats.org/officeDocument/2006/relationships/hyperlink" Target="https://www.cian.ru/sale/commercial/331849316/?mlSearchSessionGuid=8000fa91f9cd2d013b654383861ce543" TargetMode="External"/><Relationship Id="rId50" Type="http://schemas.openxmlformats.org/officeDocument/2006/relationships/hyperlink" Target="https://www.cian.ru/sale/commercial/330736944/?mlSearchSessionGuid=8000fa91f9cd2d013b654383861ce543" TargetMode="External"/><Relationship Id="rId51" Type="http://schemas.openxmlformats.org/officeDocument/2006/relationships/hyperlink" Target="https://www.cian.ru/sale/commercial/335009028/?mlSearchSessionGuid=8000fa91f9cd2d013b654383861ce543" TargetMode="External"/><Relationship Id="rId52" Type="http://schemas.openxmlformats.org/officeDocument/2006/relationships/hyperlink" Target="https://www.cian.ru/sale/commercial/334374919/?mlSearchSessionGuid=8000fa91f9cd2d013b654383861ce543" TargetMode="External"/><Relationship Id="rId53" Type="http://schemas.openxmlformats.org/officeDocument/2006/relationships/hyperlink" Target="https://www.cian.ru/sale/commercial/331721958/?mlSearchSessionGuid=8000fa91f9cd2d013b654383861ce543" TargetMode="External"/><Relationship Id="rId54" Type="http://schemas.openxmlformats.org/officeDocument/2006/relationships/hyperlink" Target="https://www.cian.ru/sale/commercial/325071029/?mlSearchSessionGuid=8000fa91f9cd2d013b654383861ce543" TargetMode="External"/><Relationship Id="rId55" Type="http://schemas.openxmlformats.org/officeDocument/2006/relationships/hyperlink" Target="https://www.cian.ru/sale/commercial/332736315/?mlSearchSessionGuid=8000fa91f9cd2d013b654383861ce543" TargetMode="External"/><Relationship Id="rId56" Type="http://schemas.openxmlformats.org/officeDocument/2006/relationships/hyperlink" Target="https://www.cian.ru/sale/commercial/334209085/?mlSearchSessionGuid=8000fa91f9cd2d013b654383861ce543" TargetMode="External"/><Relationship Id="rId57" Type="http://schemas.openxmlformats.org/officeDocument/2006/relationships/hyperlink" Target="https://www.cian.ru/sale/commercial/332211105/?mlSearchSessionGuid=8000fa91f9cd2d013b654383861ce543" TargetMode="External"/><Relationship Id="rId58" Type="http://schemas.openxmlformats.org/officeDocument/2006/relationships/hyperlink" Target="https://www.cian.ru/sale/commercial/333165223/?mlSearchSessionGuid=8000fa91f9cd2d013b654383861ce543" TargetMode="External"/><Relationship Id="rId59" Type="http://schemas.openxmlformats.org/officeDocument/2006/relationships/hyperlink" Target="https://www.cian.ru/sale/commercial/331192173/?mlSearchSessionGuid=8000fa91f9cd2d013b654383861ce543" TargetMode="External"/><Relationship Id="rId60" Type="http://schemas.openxmlformats.org/officeDocument/2006/relationships/hyperlink" Target="https://www.cian.ru/sale/commercial/314823488/?mlSearchSessionGuid=8000fa91f9cd2d013b654383861ce543" TargetMode="External"/><Relationship Id="rId61" Type="http://schemas.openxmlformats.org/officeDocument/2006/relationships/hyperlink" Target="https://www.cian.ru/sale/commercial/333445368/?mlSearchSessionGuid=8000fa91f9cd2d013b654383861ce543" TargetMode="External"/><Relationship Id="rId62" Type="http://schemas.openxmlformats.org/officeDocument/2006/relationships/hyperlink" Target="https://www.cian.ru/sale/commercial/326323424/?mlSearchSessionGuid=8000fa91f9cd2d013b654383861ce543" TargetMode="External"/><Relationship Id="rId63" Type="http://schemas.openxmlformats.org/officeDocument/2006/relationships/hyperlink" Target="https://www.cian.ru/sale/commercial/327236819/?mlSearchSessionGuid=8000fa91f9cd2d013b654383861ce543" TargetMode="External"/><Relationship Id="rId64" Type="http://schemas.openxmlformats.org/officeDocument/2006/relationships/hyperlink" Target="https://www.cian.ru/sale/commercial/323281405/?mlSearchSessionGuid=8000fa91f9cd2d013b654383861ce543" TargetMode="External"/><Relationship Id="rId65" Type="http://schemas.openxmlformats.org/officeDocument/2006/relationships/hyperlink" Target="https://www.cian.ru/sale/commercial/332862733/?mlSearchSessionGuid=8000fa91f9cd2d013b654383861ce543" TargetMode="External"/><Relationship Id="rId66" Type="http://schemas.openxmlformats.org/officeDocument/2006/relationships/hyperlink" Target="https://www.cian.ru/sale/commercial/319400512/?mlSearchSessionGuid=8000fa91f9cd2d013b654383861ce543" TargetMode="External"/><Relationship Id="rId67" Type="http://schemas.openxmlformats.org/officeDocument/2006/relationships/hyperlink" Target="https://www.cian.ru/sale/commercial/334958495/?mlSearchSessionGuid=8000fa91f9cd2d013b654383861ce543" TargetMode="External"/><Relationship Id="rId68" Type="http://schemas.openxmlformats.org/officeDocument/2006/relationships/hyperlink" Target="https://www.cian.ru/sale/commercial/303671573/?mlSearchSessionGuid=8000fa91f9cd2d013b654383861ce543" TargetMode="External"/><Relationship Id="rId69" Type="http://schemas.openxmlformats.org/officeDocument/2006/relationships/hyperlink" Target="https://www.cian.ru/sale/commercial/332553598/?mlSearchSessionGuid=8000fa91f9cd2d013b654383861ce543" TargetMode="External"/><Relationship Id="rId70" Type="http://schemas.openxmlformats.org/officeDocument/2006/relationships/hyperlink" Target="https://www.cian.ru/sale/commercial/334407095/?mlSearchSessionGuid=8000fa91f9cd2d013b654383861ce543" TargetMode="External"/><Relationship Id="rId71" Type="http://schemas.openxmlformats.org/officeDocument/2006/relationships/hyperlink" Target="https://www.cian.ru/sale/commercial/334235697/?mlSearchSessionGuid=8000fa91f9cd2d013b654383861ce543" TargetMode="External"/><Relationship Id="rId72" Type="http://schemas.openxmlformats.org/officeDocument/2006/relationships/hyperlink" Target="https://www.cian.ru/sale/commercial/333031833/?mlSearchSessionGuid=8000fa91f9cd2d013b654383861ce543" TargetMode="External"/><Relationship Id="rId73" Type="http://schemas.openxmlformats.org/officeDocument/2006/relationships/hyperlink" Target="https://www.cian.ru/sale/commercial/332055776/?mlSearchSessionGuid=8000fa91f9cd2d013b654383861ce543" TargetMode="External"/><Relationship Id="rId74" Type="http://schemas.openxmlformats.org/officeDocument/2006/relationships/hyperlink" Target="https://www.cian.ru/sale/commercial/331881395/?mlSearchSessionGuid=8000fa91f9cd2d013b654383861ce543" TargetMode="External"/><Relationship Id="rId75" Type="http://schemas.openxmlformats.org/officeDocument/2006/relationships/hyperlink" Target="https://www.cian.ru/sale/commercial/326619828/?mlSearchSessionGuid=8000fa91f9cd2d013b654383861ce543" TargetMode="External"/><Relationship Id="rId76" Type="http://schemas.openxmlformats.org/officeDocument/2006/relationships/hyperlink" Target="https://www.cian.ru/sale/commercial/317392929/?mlSearchSessionGuid=8000fa91f9cd2d013b654383861ce543" TargetMode="External"/><Relationship Id="rId77" Type="http://schemas.openxmlformats.org/officeDocument/2006/relationships/hyperlink" Target="https://www.cian.ru/sale/commercial/333604412/?mlSearchSessionGuid=8000fa91f9cd2d013b654383861ce543" TargetMode="External"/><Relationship Id="rId78" Type="http://schemas.openxmlformats.org/officeDocument/2006/relationships/hyperlink" Target="https://www.cian.ru/sale/commercial/331103352/?mlSearchSessionGuid=8000fa91f9cd2d013b654383861ce543" TargetMode="External"/><Relationship Id="rId79" Type="http://schemas.openxmlformats.org/officeDocument/2006/relationships/hyperlink" Target="https://www.cian.ru/sale/commercial/331113334/?mlSearchSessionGuid=8000fa91f9cd2d013b654383861ce543" TargetMode="External"/><Relationship Id="rId80" Type="http://schemas.openxmlformats.org/officeDocument/2006/relationships/hyperlink" Target="https://www.cian.ru/sale/commercial/334238931/?mlSearchSessionGuid=8000fa91f9cd2d013b654383861ce543" TargetMode="External"/><Relationship Id="rId81" Type="http://schemas.openxmlformats.org/officeDocument/2006/relationships/hyperlink" Target="https://www.cian.ru/sale/commercial/326727810/?mlSearchSessionGuid=8000fa91f9cd2d013b654383861ce543" TargetMode="External"/><Relationship Id="rId82" Type="http://schemas.openxmlformats.org/officeDocument/2006/relationships/hyperlink" Target="https://www.cian.ru/sale/commercial/333573302/?mlSearchSessionGuid=8000fa91f9cd2d013b654383861ce543" TargetMode="External"/><Relationship Id="rId83" Type="http://schemas.openxmlformats.org/officeDocument/2006/relationships/hyperlink" Target="https://www.cian.ru/sale/commercial/331113479/?mlSearchSessionGuid=8000fa91f9cd2d013b654383861ce543" TargetMode="External"/><Relationship Id="rId84" Type="http://schemas.openxmlformats.org/officeDocument/2006/relationships/hyperlink" Target="https://www.cian.ru/sale/commercial/333573304/?mlSearchSessionGuid=8000fa91f9cd2d013b654383861ce543" TargetMode="External"/><Relationship Id="rId85" Type="http://schemas.openxmlformats.org/officeDocument/2006/relationships/hyperlink" Target="https://www.cian.ru/sale/commercial/334124349/?mlSearchSessionGuid=8000fa91f9cd2d013b654383861ce543" TargetMode="External"/><Relationship Id="rId86" Type="http://schemas.openxmlformats.org/officeDocument/2006/relationships/hyperlink" Target="https://www.cian.ru/sale/commercial/331681786/?mlSearchSessionGuid=8000fa91f9cd2d013b654383861ce543" TargetMode="External"/><Relationship Id="rId87" Type="http://schemas.openxmlformats.org/officeDocument/2006/relationships/hyperlink" Target="https://www.cian.ru/sale/commercial/331102745/?mlSearchSessionGuid=8000fa91f9cd2d013b654383861ce543" TargetMode="External"/><Relationship Id="rId88" Type="http://schemas.openxmlformats.org/officeDocument/2006/relationships/hyperlink" Target="https://www.cian.ru/sale/commercial/326037290/?mlSearchSessionGuid=8000fa91f9cd2d013b654383861ce543" TargetMode="External"/><Relationship Id="rId89" Type="http://schemas.openxmlformats.org/officeDocument/2006/relationships/hyperlink" Target="https://www.cian.ru/sale/commercial/301009654/?mlSearchSessionGuid=8000fa91f9cd2d013b654383861ce543" TargetMode="External"/><Relationship Id="rId90" Type="http://schemas.openxmlformats.org/officeDocument/2006/relationships/hyperlink" Target="https://www.cian.ru/sale/commercial/325962115/?mlSearchSessionGuid=8000fa91f9cd2d013b654383861ce543" TargetMode="External"/><Relationship Id="rId91" Type="http://schemas.openxmlformats.org/officeDocument/2006/relationships/hyperlink" Target="https://www.cian.ru/sale/commercial/334265403/?mlSearchSessionGuid=8000fa91f9cd2d013b654383861ce543" TargetMode="External"/><Relationship Id="rId92" Type="http://schemas.openxmlformats.org/officeDocument/2006/relationships/hyperlink" Target="https://www.cian.ru/sale/commercial/331626479/?mlSearchSessionGuid=8000fa91f9cd2d013b654383861ce543" TargetMode="External"/><Relationship Id="rId93" Type="http://schemas.openxmlformats.org/officeDocument/2006/relationships/hyperlink" Target="https://www.cian.ru/sale/commercial/334579933/?mlSearchSessionGuid=8000fa91f9cd2d013b654383861ce543" TargetMode="External"/><Relationship Id="rId94" Type="http://schemas.openxmlformats.org/officeDocument/2006/relationships/hyperlink" Target="https://www.cian.ru/sale/commercial/334005205/?mlSearchSessionGuid=8000fa91f9cd2d013b654383861ce543" TargetMode="External"/><Relationship Id="rId95" Type="http://schemas.openxmlformats.org/officeDocument/2006/relationships/hyperlink" Target="https://www.cian.ru/sale/commercial/333185004/?mlSearchSessionGuid=8000fa91f9cd2d013b654383861ce543" TargetMode="External"/><Relationship Id="rId96" Type="http://schemas.openxmlformats.org/officeDocument/2006/relationships/hyperlink" Target="https://www.cian.ru/sale/commercial/300028159/?mlSearchSessionGuid=8000fa91f9cd2d013b654383861ce543" TargetMode="External"/><Relationship Id="rId97" Type="http://schemas.openxmlformats.org/officeDocument/2006/relationships/hyperlink" Target="https://www.cian.ru/sale/commercial/237430581/?mlSearchSessionGuid=8000fa91f9cd2d013b654383861ce543" TargetMode="External"/><Relationship Id="rId98" Type="http://schemas.openxmlformats.org/officeDocument/2006/relationships/hyperlink" Target="https://www.cian.ru/sale/commercial/334887235/?mlSearchSessionGuid=8000fa91f9cd2d013b654383861ce543" TargetMode="External"/><Relationship Id="rId99" Type="http://schemas.openxmlformats.org/officeDocument/2006/relationships/hyperlink" Target="https://www.cian.ru/sale/commercial/331136573/?mlSearchSessionGuid=8000fa91f9cd2d013b654383861ce543" TargetMode="External"/><Relationship Id="rId100" Type="http://schemas.openxmlformats.org/officeDocument/2006/relationships/hyperlink" Target="https://www.cian.ru/sale/commercial/331140146/?mlSearchSessionGuid=8000fa91f9cd2d013b654383861ce543" TargetMode="External"/><Relationship Id="rId101" Type="http://schemas.openxmlformats.org/officeDocument/2006/relationships/hyperlink" Target="https://www.cian.ru/sale/commercial/312296455/?mlSearchSessionGuid=8000fa91f9cd2d013b654383861ce543" TargetMode="External"/><Relationship Id="rId102" Type="http://schemas.openxmlformats.org/officeDocument/2006/relationships/hyperlink" Target="https://www.cian.ru/sale/commercial/309281470/?mlSearchSessionGuid=8000fa91f9cd2d013b654383861ce543" TargetMode="External"/><Relationship Id="rId103" Type="http://schemas.openxmlformats.org/officeDocument/2006/relationships/hyperlink" Target="https://www.cian.ru/sale/commercial/309284425/?mlSearchSessionGuid=8000fa91f9cd2d013b654383861ce543" TargetMode="External"/><Relationship Id="rId104" Type="http://schemas.openxmlformats.org/officeDocument/2006/relationships/hyperlink" Target="https://www.cian.ru/sale/commercial/326421862/?mlSearchSessionGuid=8000fa91f9cd2d013b654383861ce543" TargetMode="External"/><Relationship Id="rId105" Type="http://schemas.openxmlformats.org/officeDocument/2006/relationships/hyperlink" Target="https://www.cian.ru/sale/commercial/332780974/?mlSearchSessionGuid=8000fa91f9cd2d013b654383861ce543" TargetMode="External"/><Relationship Id="rId106" Type="http://schemas.openxmlformats.org/officeDocument/2006/relationships/hyperlink" Target="https://www.cian.ru/sale/commercial/331843452/?mlSearchSessionGuid=8000fa91f9cd2d013b654383861ce543" TargetMode="External"/><Relationship Id="rId107" Type="http://schemas.openxmlformats.org/officeDocument/2006/relationships/hyperlink" Target="https://www.cian.ru/sale/commercial/334974301/?mlSearchSessionGuid=8000fa91f9cd2d013b654383861ce543" TargetMode="External"/><Relationship Id="rId108" Type="http://schemas.openxmlformats.org/officeDocument/2006/relationships/hyperlink" Target="https://www.cian.ru/sale/commercial/333155855/?mlSearchSessionGuid=8000fa91f9cd2d013b654383861ce543" TargetMode="External"/><Relationship Id="rId109" Type="http://schemas.openxmlformats.org/officeDocument/2006/relationships/hyperlink" Target="https://www.cian.ru/sale/commercial/334273931/?mlSearchSessionGuid=8000fa91f9cd2d013b654383861ce543" TargetMode="External"/><Relationship Id="rId110" Type="http://schemas.openxmlformats.org/officeDocument/2006/relationships/hyperlink" Target="https://www.cian.ru/sale/commercial/333237788/?mlSearchSessionGuid=8000fa91f9cd2d013b654383861ce543" TargetMode="External"/><Relationship Id="rId111" Type="http://schemas.openxmlformats.org/officeDocument/2006/relationships/hyperlink" Target="https://www.cian.ru/sale/commercial/329876776/?mlSearchSessionGuid=8000fa91f9cd2d013b654383861ce543" TargetMode="External"/><Relationship Id="rId112" Type="http://schemas.openxmlformats.org/officeDocument/2006/relationships/hyperlink" Target="https://www.cian.ru/sale/commercial/331415622/?mlSearchSessionGuid=8000fa91f9cd2d013b654383861ce543" TargetMode="External"/><Relationship Id="rId113" Type="http://schemas.openxmlformats.org/officeDocument/2006/relationships/hyperlink" Target="https://www.cian.ru/sale/commercial/320234118/?mlSearchSessionGuid=8000fa91f9cd2d013b654383861ce543" TargetMode="External"/><Relationship Id="rId114" Type="http://schemas.openxmlformats.org/officeDocument/2006/relationships/hyperlink" Target="https://www.cian.ru/sale/commercial/333678819/?mlSearchSessionGuid=8000fa91f9cd2d013b654383861ce543" TargetMode="External"/><Relationship Id="rId115" Type="http://schemas.openxmlformats.org/officeDocument/2006/relationships/hyperlink" Target="https://www.cian.ru/sale/commercial/315624126/?mlSearchSessionGuid=8000fa91f9cd2d013b654383861ce543" TargetMode="External"/><Relationship Id="rId116" Type="http://schemas.openxmlformats.org/officeDocument/2006/relationships/hyperlink" Target="https://www.cian.ru/sale/commercial/334003930/?mlSearchSessionGuid=8000fa91f9cd2d013b654383861ce543" TargetMode="External"/><Relationship Id="rId117" Type="http://schemas.openxmlformats.org/officeDocument/2006/relationships/hyperlink" Target="https://www.cian.ru/sale/commercial/325072268/?mlSearchSessionGuid=8000fa91f9cd2d013b654383861ce543" TargetMode="External"/><Relationship Id="rId118" Type="http://schemas.openxmlformats.org/officeDocument/2006/relationships/hyperlink" Target="https://www.cian.ru/sale/commercial/329172942/?mlSearchSessionGuid=8000fa91f9cd2d013b654383861ce543" TargetMode="External"/><Relationship Id="rId119"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cian.ru/rent/commercial/334381087/?mlSearchSessionGuid=17e2da5c931c6c87b542a108397253f0" TargetMode="External"/><Relationship Id="rId2" Type="http://schemas.openxmlformats.org/officeDocument/2006/relationships/hyperlink" Target="https://www.cian.ru/rent/commercial/334666474/?mlSearchSessionGuid=17e2da5c931c6c87b542a108397253f0" TargetMode="External"/><Relationship Id="rId3" Type="http://schemas.openxmlformats.org/officeDocument/2006/relationships/hyperlink" Target="https://www.cian.ru/rent/commercial/332875555/?mlSearchSessionGuid=17e2da5c931c6c87b542a108397253f0" TargetMode="External"/><Relationship Id="rId4" Type="http://schemas.openxmlformats.org/officeDocument/2006/relationships/hyperlink" Target="https://www.cian.ru/rent/commercial/315760473/?mlSearchSessionGuid=17e2da5c931c6c87b542a108397253f0" TargetMode="External"/><Relationship Id="rId5" Type="http://schemas.openxmlformats.org/officeDocument/2006/relationships/hyperlink" Target="https://www.cian.ru/rent/commercial/334681917/?mlSearchSessionGuid=17e2da5c931c6c87b542a108397253f0" TargetMode="External"/><Relationship Id="rId6" Type="http://schemas.openxmlformats.org/officeDocument/2006/relationships/hyperlink" Target="https://www.cian.ru/rent/commercial/332696489/?mlSearchSessionGuid=17e2da5c931c6c87b542a108397253f0" TargetMode="External"/><Relationship Id="rId7" Type="http://schemas.openxmlformats.org/officeDocument/2006/relationships/hyperlink" Target="https://www.cian.ru/rent/commercial/332174347/?mlSearchSessionGuid=17e2da5c931c6c87b542a108397253f0" TargetMode="External"/><Relationship Id="rId8" Type="http://schemas.openxmlformats.org/officeDocument/2006/relationships/hyperlink" Target="https://www.cian.ru/rent/commercial/334860498/?mlSearchSessionGuid=17e2da5c931c6c87b542a108397253f0" TargetMode="External"/><Relationship Id="rId9" Type="http://schemas.openxmlformats.org/officeDocument/2006/relationships/hyperlink" Target="https://www.cian.ru/rent/commercial/322478899/?mlSearchSessionGuid=17e2da5c931c6c87b542a108397253f0" TargetMode="External"/><Relationship Id="rId10" Type="http://schemas.openxmlformats.org/officeDocument/2006/relationships/hyperlink" Target="https://www.cian.ru/rent/commercial/332531890/?mlSearchSessionGuid=17e2da5c931c6c87b542a108397253f0" TargetMode="External"/><Relationship Id="rId11" Type="http://schemas.openxmlformats.org/officeDocument/2006/relationships/hyperlink" Target="https://www.cian.ru/rent/commercial/334893655/?mlSearchSessionGuid=17e2da5c931c6c87b542a108397253f0" TargetMode="External"/><Relationship Id="rId12" Type="http://schemas.openxmlformats.org/officeDocument/2006/relationships/hyperlink" Target="https://www.cian.ru/rent/commercial/334866869/?mlSearchSessionGuid=10c12b0d9f45ba84383b13be903db8e2" TargetMode="External"/><Relationship Id="rId13" Type="http://schemas.openxmlformats.org/officeDocument/2006/relationships/hyperlink" Target="https://www.cian.ru/rent/commercial/334866889/?mlSearchSessionGuid=10c12b0d9f45ba84383b13be903db8e2" TargetMode="External"/><Relationship Id="rId14" Type="http://schemas.openxmlformats.org/officeDocument/2006/relationships/hyperlink" Target="https://www.cian.ru/rent/commercial/316132721/?mlSearchSessionGuid=10c12b0d9f45ba84383b13be903db8e2" TargetMode="External"/><Relationship Id="rId15" Type="http://schemas.openxmlformats.org/officeDocument/2006/relationships/hyperlink" Target="https://www.cian.ru/rent/commercial/334711814/?mlSearchSessionGuid=10c12b0d9f45ba84383b13be903db8e2" TargetMode="External"/><Relationship Id="rId16" Type="http://schemas.openxmlformats.org/officeDocument/2006/relationships/hyperlink" Target="https://www.cian.ru/rent/commercial/334711807/?mlSearchSessionGuid=10c12b0d9f45ba84383b13be903db8e2" TargetMode="External"/><Relationship Id="rId17" Type="http://schemas.openxmlformats.org/officeDocument/2006/relationships/hyperlink" Target="https://www.cian.ru/rent/commercial/334450999/?mlSearchSessionGuid=17e2da5c931c6c87b542a108397253f0" TargetMode="External"/><Relationship Id="rId18" Type="http://schemas.openxmlformats.org/officeDocument/2006/relationships/hyperlink" Target="https://www.cian.ru/rent/commercial/331163996/?mlSearchSessionGuid=17e2da5c931c6c87b542a108397253f0" TargetMode="External"/><Relationship Id="rId19" Type="http://schemas.openxmlformats.org/officeDocument/2006/relationships/hyperlink" Target="https://www.cian.ru/rent/commercial/333224839/?mlSearchSessionGuid=17e2da5c931c6c87b542a108397253f0" TargetMode="External"/><Relationship Id="rId20" Type="http://schemas.openxmlformats.org/officeDocument/2006/relationships/hyperlink" Target="https://www.cian.ru/rent/commercial/332445844/?mlSearchSessionGuid=17e2da5c931c6c87b542a108397253f0" TargetMode="External"/><Relationship Id="rId21" Type="http://schemas.openxmlformats.org/officeDocument/2006/relationships/hyperlink" Target="https://www.cian.ru/rent/commercial/333876605/?mlSearchSessionGuid=17e2da5c931c6c87b542a108397253f0" TargetMode="External"/><Relationship Id="rId22" Type="http://schemas.openxmlformats.org/officeDocument/2006/relationships/hyperlink" Target="https://www.cian.ru/rent/commercial/334210610/?mlSearchSessionGuid=10c12b0d9f45ba84383b13be903db8e2" TargetMode="External"/><Relationship Id="rId23" Type="http://schemas.openxmlformats.org/officeDocument/2006/relationships/hyperlink" Target="https://www.cian.ru/rent/commercial/331743890/?mlSearchSessionGuid=17e2da5c931c6c87b542a108397253f0" TargetMode="External"/><Relationship Id="rId24" Type="http://schemas.openxmlformats.org/officeDocument/2006/relationships/hyperlink" Target="https://www.cian.ru/rent/commercial/334603836/?mlSearchSessionGuid=17e2da5c931c6c87b542a108397253f0" TargetMode="External"/><Relationship Id="rId25" Type="http://schemas.openxmlformats.org/officeDocument/2006/relationships/hyperlink" Target="https://www.cian.ru/rent/commercial/331498697/?mlSearchSessionGuid=17e2da5c931c6c87b542a108397253f0" TargetMode="External"/><Relationship Id="rId26" Type="http://schemas.openxmlformats.org/officeDocument/2006/relationships/hyperlink" Target="https://www.cian.ru/rent/commercial/331101443/?mlSearchSessionGuid=17e2da5c931c6c87b542a108397253f0" TargetMode="External"/><Relationship Id="rId27" Type="http://schemas.openxmlformats.org/officeDocument/2006/relationships/hyperlink" Target="https://www.cian.ru/rent/commercial/334603952/?mlSearchSessionGuid=17e2da5c931c6c87b542a108397253f0" TargetMode="External"/><Relationship Id="rId28" Type="http://schemas.openxmlformats.org/officeDocument/2006/relationships/hyperlink" Target="https://www.cian.ru/rent/commercial/331134291/?mlSearchSessionGuid=17e2da5c931c6c87b542a108397253f0" TargetMode="External"/><Relationship Id="rId29" Type="http://schemas.openxmlformats.org/officeDocument/2006/relationships/hyperlink" Target="https://www.cian.ru/rent/commercial/331134292/?mlSearchSessionGuid=17e2da5c931c6c87b542a108397253f0" TargetMode="External"/><Relationship Id="rId30" Type="http://schemas.openxmlformats.org/officeDocument/2006/relationships/hyperlink" Target="https://www.cian.ru/rent/commercial/330993169/?mlSearchSessionGuid=17e2da5c931c6c87b542a108397253f0" TargetMode="External"/><Relationship Id="rId31" Type="http://schemas.openxmlformats.org/officeDocument/2006/relationships/hyperlink" Target="https://www.cian.ru/rent/commercial/306466499/?mlSearchSessionGuid=17e2da5c931c6c87b542a108397253f0" TargetMode="External"/><Relationship Id="rId32" Type="http://schemas.openxmlformats.org/officeDocument/2006/relationships/hyperlink" Target="https://www.cian.ru/rent/commercial/334429027/?mlSearchSessionGuid=17e2da5c931c6c87b542a108397253f0" TargetMode="External"/><Relationship Id="rId33" Type="http://schemas.openxmlformats.org/officeDocument/2006/relationships/hyperlink" Target="https://www.cian.ru/rent/commercial/330996461/?mlSearchSessionGuid=17e2da5c931c6c87b542a108397253f0" TargetMode="External"/><Relationship Id="rId34" Type="http://schemas.openxmlformats.org/officeDocument/2006/relationships/hyperlink" Target="https://www.cian.ru/rent/commercial/302553781/?mlSearchSessionGuid=17e2da5c931c6c87b542a108397253f0" TargetMode="External"/><Relationship Id="rId35" Type="http://schemas.openxmlformats.org/officeDocument/2006/relationships/hyperlink" Target="https://www.cian.ru/rent/commercial/334671646/?mlSearchSessionGuid=17e2da5c931c6c87b542a108397253f0" TargetMode="External"/><Relationship Id="rId36" Type="http://schemas.openxmlformats.org/officeDocument/2006/relationships/hyperlink" Target="https://www.cian.ru/rent/commercial/334603859/?mlSearchSessionGuid=17e2da5c931c6c87b542a108397253f0" TargetMode="External"/><Relationship Id="rId37" Type="http://schemas.openxmlformats.org/officeDocument/2006/relationships/hyperlink" Target="https://www.cian.ru/rent/commercial/334667852/?mlSearchSessionGuid=17e2da5c931c6c87b542a108397253f0" TargetMode="External"/><Relationship Id="rId38" Type="http://schemas.openxmlformats.org/officeDocument/2006/relationships/hyperlink" Target="https://www.cian.ru/rent/commercial/328572907/?mlSearchSessionGuid=17e2da5c931c6c87b542a108397253f0" TargetMode="External"/><Relationship Id="rId39" Type="http://schemas.openxmlformats.org/officeDocument/2006/relationships/hyperlink" Target="https://www.cian.ru/rent/commercial/334603980/?mlSearchSessionGuid=10c12b0d9f45ba84383b13be903db8e2" TargetMode="External"/><Relationship Id="rId40" Type="http://schemas.openxmlformats.org/officeDocument/2006/relationships/hyperlink" Target="https://www.cian.ru/rent/commercial/332893708/?mlSearchSessionGuid=17e2da5c931c6c87b542a108397253f0" TargetMode="External"/><Relationship Id="rId41" Type="http://schemas.openxmlformats.org/officeDocument/2006/relationships/hyperlink" Target="https://www.cian.ru/rent/commercial/334318161/?mlSearchSessionGuid=17e2da5c931c6c87b542a108397253f0" TargetMode="External"/><Relationship Id="rId42" Type="http://schemas.openxmlformats.org/officeDocument/2006/relationships/hyperlink" Target="https://www.cian.ru/rent/commercial/332836089/?mlSearchSessionGuid=17e2da5c931c6c87b542a108397253f0" TargetMode="External"/><Relationship Id="rId43" Type="http://schemas.openxmlformats.org/officeDocument/2006/relationships/hyperlink" Target="https://www.cian.ru/rent/commercial/330435685/?mlSearchSessionGuid=17e2da5c931c6c87b542a108397253f0" TargetMode="External"/><Relationship Id="rId44" Type="http://schemas.openxmlformats.org/officeDocument/2006/relationships/hyperlink" Target="https://www.cian.ru/rent/commercial/323663061/?mlSearchSessionGuid=17e2da5c931c6c87b542a108397253f0" TargetMode="External"/><Relationship Id="rId45" Type="http://schemas.openxmlformats.org/officeDocument/2006/relationships/hyperlink" Target="https://www.cian.ru/rent/commercial/330847774/?mlSearchSessionGuid=17e2da5c931c6c87b542a108397253f0" TargetMode="External"/><Relationship Id="rId46" Type="http://schemas.openxmlformats.org/officeDocument/2006/relationships/hyperlink" Target="https://www.cian.ru/rent/commercial/332061923/?mlSearchSessionGuid=17e2da5c931c6c87b542a108397253f0" TargetMode="External"/><Relationship Id="rId47" Type="http://schemas.openxmlformats.org/officeDocument/2006/relationships/hyperlink" Target="https://www.cian.ru/rent/commercial/332082043/?mlSearchSessionGuid=17e2da5c931c6c87b542a108397253f0" TargetMode="External"/><Relationship Id="rId48" Type="http://schemas.openxmlformats.org/officeDocument/2006/relationships/hyperlink" Target="https://www.cian.ru/rent/commercial/333241337/?mlSearchSessionGuid=17e2da5c931c6c87b542a108397253f0" TargetMode="External"/><Relationship Id="rId49" Type="http://schemas.openxmlformats.org/officeDocument/2006/relationships/hyperlink" Target="https://www.cian.ru/rent/commercial/333675853/?mlSearchSessionGuid=17e2da5c931c6c87b542a108397253f0" TargetMode="External"/><Relationship Id="rId50" Type="http://schemas.openxmlformats.org/officeDocument/2006/relationships/hyperlink" Target="https://www.cian.ru/rent/commercial/313727519/?mlSearchSessionGuid=17e2da5c931c6c87b542a108397253f0" TargetMode="External"/><Relationship Id="rId51" Type="http://schemas.openxmlformats.org/officeDocument/2006/relationships/hyperlink" Target="https://www.cian.ru/rent/commercial/333227260/?mlSearchSessionGuid=17e2da5c931c6c87b542a108397253f0" TargetMode="External"/><Relationship Id="rId52" Type="http://schemas.openxmlformats.org/officeDocument/2006/relationships/hyperlink" Target="https://www.cian.ru/rent/commercial/332479534/?mlSearchSessionGuid=17e2da5c931c6c87b542a108397253f0" TargetMode="External"/><Relationship Id="rId53" Type="http://schemas.openxmlformats.org/officeDocument/2006/relationships/hyperlink" Target="https://www.cian.ru/rent/commercial/335076851/?mlSearchSessionGuid=17e2da5c931c6c87b542a108397253f0" TargetMode="External"/><Relationship Id="rId54" Type="http://schemas.openxmlformats.org/officeDocument/2006/relationships/hyperlink" Target="https://www.cian.ru/rent/commercial/334969216/?mlSearchSessionGuid=17e2da5c931c6c87b542a108397253f0" TargetMode="External"/><Relationship Id="rId55" Type="http://schemas.openxmlformats.org/officeDocument/2006/relationships/hyperlink" Target="https://www.cian.ru/rent/commercial/332336515/?mlSearchSessionGuid=17e2da5c931c6c87b542a108397253f0" TargetMode="External"/><Relationship Id="rId56" Type="http://schemas.openxmlformats.org/officeDocument/2006/relationships/hyperlink" Target="https://www.cian.ru/rent/commercial/334702161/?mlSearchSessionGuid=17e2da5c931c6c87b542a108397253f0" TargetMode="External"/><Relationship Id="rId57" Type="http://schemas.openxmlformats.org/officeDocument/2006/relationships/hyperlink" Target="https://www.cian.ru/rent/commercial/333920530/?mlSearchSessionGuid=17e2da5c931c6c87b542a108397253f0" TargetMode="External"/><Relationship Id="rId58" Type="http://schemas.openxmlformats.org/officeDocument/2006/relationships/hyperlink" Target="https://www.cian.ru/rent/commercial/331849882/?mlSearchSessionGuid=17e2da5c931c6c87b542a108397253f0" TargetMode="External"/><Relationship Id="rId59" Type="http://schemas.openxmlformats.org/officeDocument/2006/relationships/hyperlink" Target="https://www.cian.ru/rent/commercial/334574979/?mlSearchSessionGuid=17e2da5c931c6c87b542a108397253f0" TargetMode="External"/><Relationship Id="rId60" Type="http://schemas.openxmlformats.org/officeDocument/2006/relationships/hyperlink" Target="https://www.cian.ru/rent/commercial/334908186/?mlSearchSessionGuid=17e2da5c931c6c87b542a108397253f0" TargetMode="External"/><Relationship Id="rId61" Type="http://schemas.openxmlformats.org/officeDocument/2006/relationships/hyperlink" Target="https://www.cian.ru/rent/commercial/332872354/?mlSearchSessionGuid=17e2da5c931c6c87b542a108397253f0" TargetMode="External"/><Relationship Id="rId62" Type="http://schemas.openxmlformats.org/officeDocument/2006/relationships/hyperlink" Target="https://www.cian.ru/rent/commercial/332390859/?mlSearchSessionGuid=17e2da5c931c6c87b542a108397253f0" TargetMode="External"/><Relationship Id="rId63" Type="http://schemas.openxmlformats.org/officeDocument/2006/relationships/hyperlink" Target="https://www.cian.ru/rent/commercial/333023271/?mlSearchSessionGuid=10c12b0d9f45ba84383b13be903db8e2" TargetMode="External"/><Relationship Id="rId64" Type="http://schemas.openxmlformats.org/officeDocument/2006/relationships/hyperlink" Target="https://www.cian.ru/rent/commercial/331426581/?mlSearchSessionGuid=17e2da5c931c6c87b542a108397253f0" TargetMode="External"/><Relationship Id="rId65" Type="http://schemas.openxmlformats.org/officeDocument/2006/relationships/hyperlink" Target="https://www.cian.ru/rent/commercial/332191087/?mlSearchSessionGuid=17e2da5c931c6c87b542a108397253f0" TargetMode="External"/><Relationship Id="rId66" Type="http://schemas.openxmlformats.org/officeDocument/2006/relationships/hyperlink" Target="https://www.cian.ru/rent/commercial/333688167/?mlSearchSessionGuid=17e2da5c931c6c87b542a108397253f0" TargetMode="External"/><Relationship Id="rId67" Type="http://schemas.openxmlformats.org/officeDocument/2006/relationships/hyperlink" Target="https://www.cian.ru/rent/commercial/329013118/?mlSearchSessionGuid=17e2da5c931c6c87b542a108397253f0" TargetMode="External"/><Relationship Id="rId68" Type="http://schemas.openxmlformats.org/officeDocument/2006/relationships/hyperlink" Target="https://www.cian.ru/rent/commercial/332210253/?mlSearchSessionGuid=17e2da5c931c6c87b542a108397253f0" TargetMode="External"/><Relationship Id="rId69" Type="http://schemas.openxmlformats.org/officeDocument/2006/relationships/hyperlink" Target="https://www.cian.ru/rent/commercial/333170280/?mlSearchSessionGuid=17e2da5c931c6c87b542a108397253f0" TargetMode="External"/><Relationship Id="rId70" Type="http://schemas.openxmlformats.org/officeDocument/2006/relationships/hyperlink" Target="https://www.cian.ru/rent/commercial/333225862/?mlSearchSessionGuid=17e2da5c931c6c87b542a108397253f0" TargetMode="External"/><Relationship Id="rId71" Type="http://schemas.openxmlformats.org/officeDocument/2006/relationships/hyperlink" Target="https://www.cian.ru/rent/commercial/332001440/?mlSearchSessionGuid=17e2da5c931c6c87b542a108397253f0" TargetMode="External"/><Relationship Id="rId72" Type="http://schemas.openxmlformats.org/officeDocument/2006/relationships/hyperlink" Target="https://www.cian.ru/rent/commercial/332951812/?mlSearchSessionGuid=17e2da5c931c6c87b542a108397253f0" TargetMode="External"/><Relationship Id="rId73" Type="http://schemas.openxmlformats.org/officeDocument/2006/relationships/hyperlink" Target="https://www.cian.ru/rent/commercial/332951813/?mlSearchSessionGuid=17e2da5c931c6c87b542a108397253f0" TargetMode="External"/><Relationship Id="rId74" Type="http://schemas.openxmlformats.org/officeDocument/2006/relationships/hyperlink" Target="https://www.cian.ru/rent/commercial/334604209/?mlSearchSessionGuid=17e2da5c931c6c87b542a108397253f0" TargetMode="External"/><Relationship Id="rId75" Type="http://schemas.openxmlformats.org/officeDocument/2006/relationships/hyperlink" Target="https://www.cian.ru/rent/commercial/332035817/?mlSearchSessionGuid=17e2da5c931c6c87b542a108397253f0" TargetMode="External"/><Relationship Id="rId76" Type="http://schemas.openxmlformats.org/officeDocument/2006/relationships/hyperlink" Target="https://www.cian.ru/rent/commercial/332875569/?mlSearchSessionGuid=17e2da5c931c6c87b542a108397253f0" TargetMode="External"/><Relationship Id="rId77" Type="http://schemas.openxmlformats.org/officeDocument/2006/relationships/hyperlink" Target="https://www.cian.ru/rent/commercial/332875574/?mlSearchSessionGuid=17e2da5c931c6c87b542a108397253f0" TargetMode="External"/><Relationship Id="rId78" Type="http://schemas.openxmlformats.org/officeDocument/2006/relationships/hyperlink" Target="https://www.cian.ru/rent/commercial/327105655/?mlSearchSessionGuid=17e2da5c931c6c87b542a108397253f0" TargetMode="External"/><Relationship Id="rId79" Type="http://schemas.openxmlformats.org/officeDocument/2006/relationships/hyperlink" Target="https://www.cian.ru/rent/commercial/333293999/?mlSearchSessionGuid=17e2da5c931c6c87b542a108397253f0" TargetMode="External"/><Relationship Id="rId80" Type="http://schemas.openxmlformats.org/officeDocument/2006/relationships/hyperlink" Target="https://www.cian.ru/rent/commercial/331415159/?mlSearchSessionGuid=17e2da5c931c6c87b542a108397253f0" TargetMode="External"/><Relationship Id="rId81" Type="http://schemas.openxmlformats.org/officeDocument/2006/relationships/hyperlink" Target="https://www.cian.ru/rent/commercial/332951815/?mlSearchSessionGuid=17e2da5c931c6c87b542a108397253f0" TargetMode="External"/><Relationship Id="rId82" Type="http://schemas.openxmlformats.org/officeDocument/2006/relationships/hyperlink" Target="https://www.cian.ru/rent/commercial/330977833/?mlSearchSessionGuid=17e2da5c931c6c87b542a108397253f0" TargetMode="External"/><Relationship Id="rId83" Type="http://schemas.openxmlformats.org/officeDocument/2006/relationships/hyperlink" Target="https://www.cian.ru/rent/commercial/331289328/?mlSearchSessionGuid=17e2da5c931c6c87b542a108397253f0" TargetMode="External"/><Relationship Id="rId84" Type="http://schemas.openxmlformats.org/officeDocument/2006/relationships/hyperlink" Target="https://www.cian.ru/rent/commercial/333921091/?mlSearchSessionGuid=17e2da5c931c6c87b542a108397253f0" TargetMode="External"/><Relationship Id="rId85" Type="http://schemas.openxmlformats.org/officeDocument/2006/relationships/hyperlink" Target="https://www.cian.ru/rent/commercial/334488235/?mlSearchSessionGuid=17e2da5c931c6c87b542a108397253f0" TargetMode="External"/><Relationship Id="rId86" Type="http://schemas.openxmlformats.org/officeDocument/2006/relationships/hyperlink" Target="https://www.cian.ru/rent/commercial/334383202/?mlSearchSessionGuid=17e2da5c931c6c87b542a108397253f0" TargetMode="External"/><Relationship Id="rId87" Type="http://schemas.openxmlformats.org/officeDocument/2006/relationships/hyperlink" Target="https://www.cian.ru/rent/commercial/333976250/?mlSearchSessionGuid=10c12b0d9f45ba84383b13be903db8e2" TargetMode="External"/><Relationship Id="rId88" Type="http://schemas.openxmlformats.org/officeDocument/2006/relationships/hyperlink" Target="https://www.cian.ru/rent/commercial/333569565/?mlSearchSessionGuid=17e2da5c931c6c87b542a108397253f0" TargetMode="External"/><Relationship Id="rId89" Type="http://schemas.openxmlformats.org/officeDocument/2006/relationships/hyperlink" Target="https://www.cian.ru/rent/commercial/334112445/?mlSearchSessionGuid=17e2da5c931c6c87b542a108397253f0" TargetMode="External"/><Relationship Id="rId90" Type="http://schemas.openxmlformats.org/officeDocument/2006/relationships/hyperlink" Target="https://www.cian.ru/rent/commercial/316427871/?mlSearchSessionGuid=10c12b0d9f45ba84383b13be903db8e2" TargetMode="External"/><Relationship Id="rId91" Type="http://schemas.openxmlformats.org/officeDocument/2006/relationships/hyperlink" Target="https://www.cian.ru/rent/commercial/333685020/?mlSearchSessionGuid=17e2da5c931c6c87b542a108397253f0" TargetMode="External"/><Relationship Id="rId92" Type="http://schemas.openxmlformats.org/officeDocument/2006/relationships/hyperlink" Target="https://www.cian.ru/rent/commercial/334603754/?mlSearchSessionGuid=17e2da5c931c6c87b542a108397253f0" TargetMode="External"/><Relationship Id="rId93" Type="http://schemas.openxmlformats.org/officeDocument/2006/relationships/hyperlink" Target="https://www.cian.ru/rent/commercial/334603584/?mlSearchSessionGuid=17e2da5c931c6c87b542a108397253f0" TargetMode="External"/><Relationship Id="rId94" Type="http://schemas.openxmlformats.org/officeDocument/2006/relationships/hyperlink" Target="https://www.cian.ru/rent/commercial/334604096/?mlSearchSessionGuid=17e2da5c931c6c87b542a108397253f0" TargetMode="External"/><Relationship Id="rId95" Type="http://schemas.openxmlformats.org/officeDocument/2006/relationships/hyperlink" Target="https://www.cian.ru/rent/commercial/316074873/?mlSearchSessionGuid=17e2da5c931c6c87b542a108397253f0" TargetMode="External"/><Relationship Id="rId96" Type="http://schemas.openxmlformats.org/officeDocument/2006/relationships/hyperlink" Target="https://www.cian.ru/rent/commercial/334580141/?mlSearchSessionGuid=17e2da5c931c6c87b542a108397253f0" TargetMode="External"/><Relationship Id="rId97" Type="http://schemas.openxmlformats.org/officeDocument/2006/relationships/hyperlink" Target="https://www.cian.ru/rent/commercial/334604086/?mlSearchSessionGuid=17e2da5c931c6c87b542a108397253f0" TargetMode="External"/><Relationship Id="rId98" Type="http://schemas.openxmlformats.org/officeDocument/2006/relationships/hyperlink" Target="https://www.cian.ru/rent/commercial/334603886/?mlSearchSessionGuid=17e2da5c931c6c87b542a108397253f0" TargetMode="External"/><Relationship Id="rId99" Type="http://schemas.openxmlformats.org/officeDocument/2006/relationships/hyperlink" Target="https://www.cian.ru/rent/commercial/334603889/?mlSearchSessionGuid=17e2da5c931c6c87b542a108397253f0" TargetMode="External"/><Relationship Id="rId100" Type="http://schemas.openxmlformats.org/officeDocument/2006/relationships/hyperlink" Target="https://www.cian.ru/rent/commercial/334982113/?mlSearchSessionGuid=17e2da5c931c6c87b542a108397253f0" TargetMode="External"/><Relationship Id="rId101" Type="http://schemas.openxmlformats.org/officeDocument/2006/relationships/hyperlink" Target="https://www.cian.ru/rent/commercial/334982112/?mlSearchSessionGuid=17e2da5c931c6c87b542a108397253f0" TargetMode="External"/><Relationship Id="rId102" Type="http://schemas.openxmlformats.org/officeDocument/2006/relationships/hyperlink" Target="https://www.cian.ru/rent/commercial/334604088/?mlSearchSessionGuid=10c12b0d9f45ba84383b13be903db8e2" TargetMode="External"/><Relationship Id="rId103" Type="http://schemas.openxmlformats.org/officeDocument/2006/relationships/hyperlink" Target="https://www.cian.ru/rent/commercial/334604177/?mlSearchSessionGuid=10c12b0d9f45ba84383b13be903db8e2" TargetMode="External"/><Relationship Id="rId104" Type="http://schemas.openxmlformats.org/officeDocument/2006/relationships/hyperlink" Target="https://www.cian.ru/rent/commercial/332695406/?mlSearchSessionGuid=17e2da5c931c6c87b542a108397253f0" TargetMode="External"/><Relationship Id="rId105" Type="http://schemas.openxmlformats.org/officeDocument/2006/relationships/hyperlink" Target="https://www.cian.ru/rent/commercial/334686663/?mlSearchSessionGuid=17e2da5c931c6c87b542a108397253f0" TargetMode="External"/><Relationship Id="rId106" Type="http://schemas.openxmlformats.org/officeDocument/2006/relationships/hyperlink" Target="https://www.cian.ru/rent/commercial/331849878/?mlSearchSessionGuid=17e2da5c931c6c87b542a108397253f0" TargetMode="External"/><Relationship Id="rId107" Type="http://schemas.openxmlformats.org/officeDocument/2006/relationships/hyperlink" Target="https://www.cian.ru/rent/commercial/332805739/?mlSearchSessionGuid=17e2da5c931c6c87b542a108397253f0" TargetMode="External"/><Relationship Id="rId108" Type="http://schemas.openxmlformats.org/officeDocument/2006/relationships/hyperlink" Target="https://www.cian.ru/rent/commercial/330302762/?mlSearchSessionGuid=17e2da5c931c6c87b542a108397253f0" TargetMode="External"/><Relationship Id="rId109" Type="http://schemas.openxmlformats.org/officeDocument/2006/relationships/hyperlink" Target="https://www.cian.ru/rent/commercial/333936042/?mlSearchSessionGuid=10c12b0d9f45ba84383b13be903db8e2" TargetMode="External"/><Relationship Id="rId110" Type="http://schemas.openxmlformats.org/officeDocument/2006/relationships/hyperlink" Target="https://www.cian.ru/rent/commercial/333935991/?mlSearchSessionGuid=10c12b0d9f45ba84383b13be903db8e2" TargetMode="External"/><Relationship Id="rId111" Type="http://schemas.openxmlformats.org/officeDocument/2006/relationships/hyperlink" Target="https://www.cian.ru/rent/commercial/334330479/?mlSearchSessionGuid=17e2da5c931c6c87b542a108397253f0" TargetMode="External"/><Relationship Id="rId112" Type="http://schemas.openxmlformats.org/officeDocument/2006/relationships/hyperlink" Target="https://www.cian.ru/rent/commercial/334702410/?mlSearchSessionGuid=10c12b0d9f45ba84383b13be903db8e2" TargetMode="External"/><Relationship Id="rId113" Type="http://schemas.openxmlformats.org/officeDocument/2006/relationships/hyperlink" Target="https://www.cian.ru/rent/commercial/331722635/?mlSearchSessionGuid=17e2da5c931c6c87b542a108397253f0" TargetMode="External"/><Relationship Id="rId114" Type="http://schemas.openxmlformats.org/officeDocument/2006/relationships/hyperlink" Target="https://www.cian.ru/rent/commercial/334603700/?mlSearchSessionGuid=17e2da5c931c6c87b542a108397253f0" TargetMode="External"/><Relationship Id="rId115" Type="http://schemas.openxmlformats.org/officeDocument/2006/relationships/hyperlink" Target="https://www.cian.ru/rent/commercial/334603736/?mlSearchSessionGuid=17e2da5c931c6c87b542a108397253f0" TargetMode="External"/><Relationship Id="rId116" Type="http://schemas.openxmlformats.org/officeDocument/2006/relationships/hyperlink" Target="https://www.cian.ru/rent/commercial/331159054/?mlSearchSessionGuid=17e2da5c931c6c87b542a108397253f0" TargetMode="External"/><Relationship Id="rId117" Type="http://schemas.openxmlformats.org/officeDocument/2006/relationships/hyperlink" Target="https://www.cian.ru/rent/commercial/334604059/?mlSearchSessionGuid=17e2da5c931c6c87b542a108397253f0" TargetMode="External"/><Relationship Id="rId118" Type="http://schemas.openxmlformats.org/officeDocument/2006/relationships/hyperlink" Target="https://www.cian.ru/rent/commercial/334604058/?mlSearchSessionGuid=17e2da5c931c6c87b542a108397253f0" TargetMode="External"/><Relationship Id="rId119" Type="http://schemas.openxmlformats.org/officeDocument/2006/relationships/hyperlink" Target="https://www.cian.ru/rent/commercial/334604018/?mlSearchSessionGuid=17e2da5c931c6c87b542a108397253f0" TargetMode="External"/><Relationship Id="rId120" Type="http://schemas.openxmlformats.org/officeDocument/2006/relationships/hyperlink" Target="https://www.cian.ru/rent/commercial/334604128/?mlSearchSessionGuid=17e2da5c931c6c87b542a108397253f0" TargetMode="External"/><Relationship Id="rId121" Type="http://schemas.openxmlformats.org/officeDocument/2006/relationships/hyperlink" Target="https://www.cian.ru/rent/commercial/334603931/?mlSearchSessionGuid=17e2da5c931c6c87b542a108397253f0" TargetMode="External"/><Relationship Id="rId122" Type="http://schemas.openxmlformats.org/officeDocument/2006/relationships/hyperlink" Target="https://www.cian.ru/rent/commercial/334604270/?mlSearchSessionGuid=17e2da5c931c6c87b542a108397253f0" TargetMode="External"/><Relationship Id="rId123" Type="http://schemas.openxmlformats.org/officeDocument/2006/relationships/hyperlink" Target="https://www.cian.ru/rent/commercial/331195567/?mlSearchSessionGuid=17e2da5c931c6c87b542a108397253f0" TargetMode="External"/><Relationship Id="rId124" Type="http://schemas.openxmlformats.org/officeDocument/2006/relationships/hyperlink" Target="https://www.cian.ru/rent/commercial/334604056/?mlSearchSessionGuid=17e2da5c931c6c87b542a108397253f0" TargetMode="External"/><Relationship Id="rId125" Type="http://schemas.openxmlformats.org/officeDocument/2006/relationships/hyperlink" Target="https://www.cian.ru/rent/commercial/334993609/?mlSearchSessionGuid=17e2da5c931c6c87b542a108397253f0" TargetMode="External"/><Relationship Id="rId126" Type="http://schemas.openxmlformats.org/officeDocument/2006/relationships/hyperlink" Target="https://www.cian.ru/rent/commercial/334995364/?mlSearchSessionGuid=17e2da5c931c6c87b542a108397253f0" TargetMode="External"/><Relationship Id="rId127" Type="http://schemas.openxmlformats.org/officeDocument/2006/relationships/hyperlink" Target="https://www.cian.ru/rent/commercial/334995365/?mlSearchSessionGuid=17e2da5c931c6c87b542a108397253f0" TargetMode="External"/><Relationship Id="rId128" Type="http://schemas.openxmlformats.org/officeDocument/2006/relationships/hyperlink" Target="https://www.cian.ru/rent/commercial/334993608/?mlSearchSessionGuid=17e2da5c931c6c87b542a108397253f0" TargetMode="External"/><Relationship Id="rId129" Type="http://schemas.openxmlformats.org/officeDocument/2006/relationships/hyperlink" Target="https://www.cian.ru/rent/commercial/334995363/?mlSearchSessionGuid=17e2da5c931c6c87b542a108397253f0" TargetMode="External"/><Relationship Id="rId130" Type="http://schemas.openxmlformats.org/officeDocument/2006/relationships/hyperlink" Target="https://www.cian.ru/rent/commercial/335001693/?mlSearchSessionGuid=17e2da5c931c6c87b542a108397253f0" TargetMode="External"/><Relationship Id="rId131" Type="http://schemas.openxmlformats.org/officeDocument/2006/relationships/hyperlink" Target="https://www.cian.ru/rent/commercial/335001696/?mlSearchSessionGuid=17e2da5c931c6c87b542a108397253f0" TargetMode="External"/><Relationship Id="rId132" Type="http://schemas.openxmlformats.org/officeDocument/2006/relationships/hyperlink" Target="https://www.cian.ru/rent/commercial/335027076/?mlSearchSessionGuid=17e2da5c931c6c87b542a108397253f0" TargetMode="External"/><Relationship Id="rId133" Type="http://schemas.openxmlformats.org/officeDocument/2006/relationships/hyperlink" Target="https://www.cian.ru/rent/commercial/334910837/?mlSearchSessionGuid=17e2da5c931c6c87b542a108397253f0" TargetMode="External"/><Relationship Id="rId134" Type="http://schemas.openxmlformats.org/officeDocument/2006/relationships/hyperlink" Target="https://www.cian.ru/rent/commercial/335000749/?mlSearchSessionGuid=17e2da5c931c6c87b542a108397253f0" TargetMode="External"/><Relationship Id="rId135" Type="http://schemas.openxmlformats.org/officeDocument/2006/relationships/hyperlink" Target="https://www.cian.ru/rent/commercial/334955553/?mlSearchSessionGuid=17e2da5c931c6c87b542a108397253f0" TargetMode="External"/><Relationship Id="rId136" Type="http://schemas.openxmlformats.org/officeDocument/2006/relationships/hyperlink" Target="https://www.cian.ru/rent/commercial/334116083/?mlSearchSessionGuid=10c12b0d9f45ba84383b13be903db8e2" TargetMode="External"/><Relationship Id="rId137" Type="http://schemas.openxmlformats.org/officeDocument/2006/relationships/hyperlink" Target="https://www.cian.ru/rent/commercial/331121917/?mlSearchSessionGuid=17e2da5c931c6c87b542a108397253f0" TargetMode="External"/><Relationship Id="rId138" Type="http://schemas.openxmlformats.org/officeDocument/2006/relationships/hyperlink" Target="https://www.cian.ru/rent/commercial/332392285/?mlSearchSessionGuid=17e2da5c931c6c87b542a108397253f0" TargetMode="External"/><Relationship Id="rId139" Type="http://schemas.openxmlformats.org/officeDocument/2006/relationships/hyperlink" Target="https://www.cian.ru/rent/commercial/333810561/?mlSearchSessionGuid=17e2da5c931c6c87b542a108397253f0" TargetMode="External"/><Relationship Id="rId140" Type="http://schemas.openxmlformats.org/officeDocument/2006/relationships/hyperlink" Target="https://www.cian.ru/rent/commercial/329007128/?mlSearchSessionGuid=17e2da5c931c6c87b542a108397253f0" TargetMode="External"/><Relationship Id="rId141" Type="http://schemas.openxmlformats.org/officeDocument/2006/relationships/hyperlink" Target="https://www.cian.ru/rent/commercial/331933835/?mlSearchSessionGuid=17e2da5c931c6c87b542a108397253f0" TargetMode="External"/><Relationship Id="rId142" Type="http://schemas.openxmlformats.org/officeDocument/2006/relationships/hyperlink" Target="https://www.cian.ru/rent/commercial/331332922/?mlSearchSessionGuid=17e2da5c931c6c87b542a108397253f0" TargetMode="External"/><Relationship Id="rId143" Type="http://schemas.openxmlformats.org/officeDocument/2006/relationships/hyperlink" Target="https://www.cian.ru/rent/commercial/328850016/?mlSearchSessionGuid=17e2da5c931c6c87b542a108397253f0" TargetMode="External"/><Relationship Id="rId144" Type="http://schemas.openxmlformats.org/officeDocument/2006/relationships/hyperlink" Target="https://www.cian.ru/rent/commercial/155403939/?mlSearchSessionGuid=17e2da5c931c6c87b542a108397253f0" TargetMode="External"/><Relationship Id="rId145" Type="http://schemas.openxmlformats.org/officeDocument/2006/relationships/hyperlink" Target="https://www.cian.ru/rent/commercial/327230871/?mlSearchSessionGuid=17e2da5c931c6c87b542a108397253f0" TargetMode="External"/><Relationship Id="rId146" Type="http://schemas.openxmlformats.org/officeDocument/2006/relationships/hyperlink" Target="https://www.cian.ru/rent/commercial/334518390/?mlSearchSessionGuid=17e2da5c931c6c87b542a108397253f0" TargetMode="External"/><Relationship Id="rId147" Type="http://schemas.openxmlformats.org/officeDocument/2006/relationships/hyperlink" Target="https://www.cian.ru/rent/commercial/334201070/?mlSearchSessionGuid=17e2da5c931c6c87b542a108397253f0" TargetMode="External"/><Relationship Id="rId148" Type="http://schemas.openxmlformats.org/officeDocument/2006/relationships/hyperlink" Target="https://www.cian.ru/rent/commercial/164963756/?mlSearchSessionGuid=17e2da5c931c6c87b542a108397253f0" TargetMode="External"/><Relationship Id="rId149" Type="http://schemas.openxmlformats.org/officeDocument/2006/relationships/hyperlink" Target="https://www.cian.ru/rent/commercial/334884858/?mlSearchSessionGuid=17e2da5c931c6c87b542a108397253f0" TargetMode="External"/><Relationship Id="rId150" Type="http://schemas.openxmlformats.org/officeDocument/2006/relationships/hyperlink" Target="https://www.cian.ru/rent/commercial/334976510/?mlSearchSessionGuid=17e2da5c931c6c87b542a108397253f0" TargetMode="External"/><Relationship Id="rId151" Type="http://schemas.openxmlformats.org/officeDocument/2006/relationships/hyperlink" Target="https://www.cian.ru/rent/commercial/334976165/?mlSearchSessionGuid=17e2da5c931c6c87b542a108397253f0" TargetMode="External"/><Relationship Id="rId152" Type="http://schemas.openxmlformats.org/officeDocument/2006/relationships/hyperlink" Target="https://www.cian.ru/rent/commercial/334975359/?mlSearchSessionGuid=17e2da5c931c6c87b542a108397253f0" TargetMode="External"/><Relationship Id="rId153" Type="http://schemas.openxmlformats.org/officeDocument/2006/relationships/hyperlink" Target="https://www.cian.ru/rent/commercial/334975825/?mlSearchSessionGuid=17e2da5c931c6c87b542a108397253f0" TargetMode="External"/><Relationship Id="rId154" Type="http://schemas.openxmlformats.org/officeDocument/2006/relationships/hyperlink" Target="https://www.cian.ru/rent/commercial/334557110/?mlSearchSessionGuid=17e2da5c931c6c87b542a108397253f0" TargetMode="External"/><Relationship Id="rId155" Type="http://schemas.openxmlformats.org/officeDocument/2006/relationships/hyperlink" Target="https://www.cian.ru/rent/commercial/332604564/?mlSearchSessionGuid=17e2da5c931c6c87b542a108397253f0" TargetMode="External"/><Relationship Id="rId156" Type="http://schemas.openxmlformats.org/officeDocument/2006/relationships/hyperlink" Target="https://www.cian.ru/rent/commercial/316189963/?mlSearchSessionGuid=17e2da5c931c6c87b542a108397253f0" TargetMode="External"/><Relationship Id="rId157" Type="http://schemas.openxmlformats.org/officeDocument/2006/relationships/hyperlink" Target="https://www.cian.ru/rent/commercial/332579128/?mlSearchSessionGuid=17e2da5c931c6c87b542a108397253f0" TargetMode="External"/><Relationship Id="rId158" Type="http://schemas.openxmlformats.org/officeDocument/2006/relationships/hyperlink" Target="https://www.cian.ru/rent/commercial/334088701/?mlSearchSessionGuid=17e2da5c931c6c87b542a108397253f0" TargetMode="External"/><Relationship Id="rId159" Type="http://schemas.openxmlformats.org/officeDocument/2006/relationships/hyperlink" Target="https://www.cian.ru/rent/commercial/333049729/?mlSearchSessionGuid=17e2da5c931c6c87b542a108397253f0" TargetMode="External"/><Relationship Id="rId160" Type="http://schemas.openxmlformats.org/officeDocument/2006/relationships/hyperlink" Target="https://www.cian.ru/rent/commercial/334018571/?mlSearchSessionGuid=17e2da5c931c6c87b542a108397253f0" TargetMode="External"/><Relationship Id="rId161" Type="http://schemas.openxmlformats.org/officeDocument/2006/relationships/hyperlink" Target="https://www.cian.ru/rent/commercial/330434825/?mlSearchSessionGuid=17e2da5c931c6c87b542a108397253f0" TargetMode="External"/><Relationship Id="rId162" Type="http://schemas.openxmlformats.org/officeDocument/2006/relationships/hyperlink" Target="https://www.cian.ru/rent/commercial/331761096/?mlSearchSessionGuid=17e2da5c931c6c87b542a108397253f0" TargetMode="External"/><Relationship Id="rId163" Type="http://schemas.openxmlformats.org/officeDocument/2006/relationships/hyperlink" Target="https://www.cian.ru/rent/commercial/334603750/?mlSearchSessionGuid=17e2da5c931c6c87b542a108397253f0" TargetMode="External"/><Relationship Id="rId164" Type="http://schemas.openxmlformats.org/officeDocument/2006/relationships/hyperlink" Target="https://www.cian.ru/rent/commercial/334603752/?mlSearchSessionGuid=17e2da5c931c6c87b542a108397253f0" TargetMode="External"/><Relationship Id="rId165" Type="http://schemas.openxmlformats.org/officeDocument/2006/relationships/hyperlink" Target="https://www.cian.ru/rent/commercial/334604152/?mlSearchSessionGuid=17e2da5c931c6c87b542a108397253f0" TargetMode="External"/><Relationship Id="rId166" Type="http://schemas.openxmlformats.org/officeDocument/2006/relationships/hyperlink" Target="https://www.cian.ru/rent/commercial/334604225/?mlSearchSessionGuid=17e2da5c931c6c87b542a108397253f0" TargetMode="External"/><Relationship Id="rId167" Type="http://schemas.openxmlformats.org/officeDocument/2006/relationships/hyperlink" Target="https://www.cian.ru/rent/commercial/334257727/?mlSearchSessionGuid=17e2da5c931c6c87b542a108397253f0" TargetMode="External"/><Relationship Id="rId168" Type="http://schemas.openxmlformats.org/officeDocument/2006/relationships/hyperlink" Target="https://www.cian.ru/rent/commercial/331363724/?mlSearchSessionGuid=17e2da5c931c6c87b542a108397253f0" TargetMode="External"/><Relationship Id="rId169" Type="http://schemas.openxmlformats.org/officeDocument/2006/relationships/hyperlink" Target="https://www.cian.ru/rent/commercial/334604027/?mlSearchSessionGuid=17e2da5c931c6c87b542a108397253f0" TargetMode="External"/><Relationship Id="rId170" Type="http://schemas.openxmlformats.org/officeDocument/2006/relationships/hyperlink" Target="https://www.cian.ru/rent/commercial/334604124/?mlSearchSessionGuid=17e2da5c931c6c87b542a108397253f0" TargetMode="External"/><Relationship Id="rId171" Type="http://schemas.openxmlformats.org/officeDocument/2006/relationships/hyperlink" Target="https://www.cian.ru/rent/commercial/334604020/?mlSearchSessionGuid=17e2da5c931c6c87b542a108397253f0" TargetMode="External"/><Relationship Id="rId172" Type="http://schemas.openxmlformats.org/officeDocument/2006/relationships/hyperlink" Target="https://www.cian.ru/rent/commercial/334389005/?mlSearchSessionGuid=17e2da5c931c6c87b542a108397253f0" TargetMode="External"/><Relationship Id="rId173" Type="http://schemas.openxmlformats.org/officeDocument/2006/relationships/hyperlink" Target="https://www.cian.ru/rent/commercial/334383187/?mlSearchSessionGuid=17e2da5c931c6c87b542a108397253f0" TargetMode="External"/><Relationship Id="rId174" Type="http://schemas.openxmlformats.org/officeDocument/2006/relationships/hyperlink" Target="https://www.cian.ru/rent/commercial/332687000/?mlSearchSessionGuid=17e2da5c931c6c87b542a108397253f0" TargetMode="External"/><Relationship Id="rId175" Type="http://schemas.openxmlformats.org/officeDocument/2006/relationships/hyperlink" Target="https://www.cian.ru/rent/commercial/332686992/?mlSearchSessionGuid=17e2da5c931c6c87b542a108397253f0" TargetMode="External"/><Relationship Id="rId176" Type="http://schemas.openxmlformats.org/officeDocument/2006/relationships/hyperlink" Target="https://www.cian.ru/rent/commercial/332686981/?mlSearchSessionGuid=17e2da5c931c6c87b542a108397253f0" TargetMode="External"/><Relationship Id="rId177" Type="http://schemas.openxmlformats.org/officeDocument/2006/relationships/hyperlink" Target="https://www.cian.ru/rent/commercial/332578486/?mlSearchSessionGuid=17e2da5c931c6c87b542a108397253f0" TargetMode="External"/><Relationship Id="rId178" Type="http://schemas.openxmlformats.org/officeDocument/2006/relationships/hyperlink" Target="https://www.cian.ru/rent/commercial/330435160/?mlSearchSessionGuid=17e2da5c931c6c87b542a108397253f0" TargetMode="External"/><Relationship Id="rId179" Type="http://schemas.openxmlformats.org/officeDocument/2006/relationships/hyperlink" Target="https://www.cian.ru/rent/commercial/332578485/?mlSearchSessionGuid=17e2da5c931c6c87b542a108397253f0" TargetMode="External"/><Relationship Id="rId180" Type="http://schemas.openxmlformats.org/officeDocument/2006/relationships/hyperlink" Target="https://www.cian.ru/rent/commercial/332686996/?mlSearchSessionGuid=17e2da5c931c6c87b542a108397253f0" TargetMode="External"/><Relationship Id="rId181" Type="http://schemas.openxmlformats.org/officeDocument/2006/relationships/hyperlink" Target="https://www.cian.ru/rent/commercial/333275484/?mlSearchSessionGuid=17e2da5c931c6c87b542a108397253f0" TargetMode="External"/><Relationship Id="rId182" Type="http://schemas.openxmlformats.org/officeDocument/2006/relationships/hyperlink" Target="https://www.cian.ru/rent/commercial/332581485/?mlSearchSessionGuid=17e2da5c931c6c87b542a108397253f0" TargetMode="External"/><Relationship Id="rId183" Type="http://schemas.openxmlformats.org/officeDocument/2006/relationships/hyperlink" Target="https://www.cian.ru/rent/commercial/332875616/?mlSearchSessionGuid=17e2da5c931c6c87b542a108397253f0" TargetMode="External"/><Relationship Id="rId184" Type="http://schemas.openxmlformats.org/officeDocument/2006/relationships/hyperlink" Target="https://www.cian.ru/rent/commercial/332686985/?mlSearchSessionGuid=17e2da5c931c6c87b542a108397253f0" TargetMode="External"/><Relationship Id="rId185" Type="http://schemas.openxmlformats.org/officeDocument/2006/relationships/hyperlink" Target="https://www.cian.ru/rent/commercial/332875617/?mlSearchSessionGuid=17e2da5c931c6c87b542a108397253f0" TargetMode="External"/><Relationship Id="rId186" Type="http://schemas.openxmlformats.org/officeDocument/2006/relationships/hyperlink" Target="https://www.cian.ru/rent/commercial/331386919/?mlSearchSessionGuid=17e2da5c931c6c87b542a108397253f0" TargetMode="External"/><Relationship Id="rId187" Type="http://schemas.openxmlformats.org/officeDocument/2006/relationships/hyperlink" Target="https://www.cian.ru/rent/commercial/333275559/?mlSearchSessionGuid=17e2da5c931c6c87b542a108397253f0" TargetMode="External"/><Relationship Id="rId188" Type="http://schemas.openxmlformats.org/officeDocument/2006/relationships/hyperlink" Target="https://www.cian.ru/rent/commercial/333276145/?mlSearchSessionGuid=17e2da5c931c6c87b542a108397253f0" TargetMode="External"/><Relationship Id="rId189" Type="http://schemas.openxmlformats.org/officeDocument/2006/relationships/hyperlink" Target="https://www.cian.ru/rent/commercial/333275760/?mlSearchSessionGuid=17e2da5c931c6c87b542a108397253f0" TargetMode="External"/><Relationship Id="rId190" Type="http://schemas.openxmlformats.org/officeDocument/2006/relationships/hyperlink" Target="https://www.cian.ru/rent/commercial/333276110/?mlSearchSessionGuid=17e2da5c931c6c87b542a108397253f0" TargetMode="External"/><Relationship Id="rId19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60"/>
    <col collapsed="false" customWidth="true" hidden="false" outlineLevel="0" max="8" min="4" style="0" width="13"/>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1" t="s">
        <v>1</v>
      </c>
      <c r="C3" s="3" t="s">
        <v>2</v>
      </c>
    </row>
    <row r="4" customFormat="false" ht="15" hidden="false" customHeight="false" outlineLevel="0" collapsed="false">
      <c r="A4" s="2" t="s">
        <v>3</v>
      </c>
      <c r="B4" s="4" t="n">
        <v>1184.5</v>
      </c>
      <c r="C4" s="3" t="s">
        <v>4</v>
      </c>
    </row>
    <row r="5" customFormat="false" ht="15" hidden="false" customHeight="false" outlineLevel="0" collapsed="false">
      <c r="A5" s="2" t="s">
        <v>5</v>
      </c>
      <c r="B5" s="4" t="n">
        <v>38951205</v>
      </c>
      <c r="C5" s="3" t="s">
        <v>6</v>
      </c>
    </row>
    <row r="6" customFormat="false" ht="15" hidden="false" customHeight="false" outlineLevel="0" collapsed="false">
      <c r="A6" s="2" t="s">
        <v>7</v>
      </c>
      <c r="B6" s="4" t="n">
        <v>2280000</v>
      </c>
      <c r="C6" s="3" t="s">
        <v>8</v>
      </c>
    </row>
    <row r="7" customFormat="false" ht="15" hidden="false" customHeight="false" outlineLevel="0" collapsed="false">
      <c r="A7" s="2" t="s">
        <v>9</v>
      </c>
      <c r="B7" s="5" t="n">
        <v>0.09</v>
      </c>
      <c r="C7" s="3" t="s">
        <v>10</v>
      </c>
    </row>
    <row r="8" customFormat="false" ht="15" hidden="false" customHeight="false" outlineLevel="0" collapsed="false">
      <c r="A8" s="2" t="s">
        <v>11</v>
      </c>
      <c r="B8" s="6" t="n">
        <v>0.095</v>
      </c>
      <c r="C8" s="3" t="s">
        <v>12</v>
      </c>
    </row>
    <row r="9" customFormat="false" ht="15" hidden="false" customHeight="false" outlineLevel="0" collapsed="false">
      <c r="A9" s="2" t="s">
        <v>13</v>
      </c>
      <c r="B9" s="5" t="n">
        <v>0.105</v>
      </c>
    </row>
    <row r="10" customFormat="false" ht="15" hidden="false" customHeight="false" outlineLevel="0" collapsed="false">
      <c r="A10" s="2" t="s">
        <v>14</v>
      </c>
      <c r="B10" s="4" t="n">
        <v>377402</v>
      </c>
      <c r="C10" s="3" t="s">
        <v>15</v>
      </c>
    </row>
    <row r="11" customFormat="false" ht="15" hidden="false" customHeight="false" outlineLevel="0" collapsed="false">
      <c r="A11" s="2" t="s">
        <v>16</v>
      </c>
      <c r="B11" s="5" t="n">
        <v>-0.1</v>
      </c>
    </row>
    <row r="12" customFormat="false" ht="15" hidden="false" customHeight="false" outlineLevel="0" collapsed="false">
      <c r="A12" s="2" t="s">
        <v>17</v>
      </c>
      <c r="B12" s="5" t="n">
        <v>0.07</v>
      </c>
    </row>
    <row r="13" customFormat="false" ht="15" hidden="false" customHeight="false" outlineLevel="0" collapsed="false">
      <c r="A13" s="2" t="s">
        <v>18</v>
      </c>
      <c r="B13" s="5" t="n">
        <v>-0.07</v>
      </c>
    </row>
    <row r="14" customFormat="false" ht="15" hidden="false" customHeight="false" outlineLevel="0" collapsed="false">
      <c r="A14" s="2" t="s">
        <v>19</v>
      </c>
      <c r="B14" s="5" t="n">
        <v>-0.1</v>
      </c>
    </row>
    <row r="15" customFormat="false" ht="15" hidden="false" customHeight="false" outlineLevel="0" collapsed="false">
      <c r="A15" s="2" t="s">
        <v>20</v>
      </c>
      <c r="B15" s="5" t="n">
        <v>0.05</v>
      </c>
    </row>
    <row r="16" customFormat="false" ht="15" hidden="false" customHeight="false" outlineLevel="0" collapsed="false">
      <c r="A16" s="2" t="s">
        <v>21</v>
      </c>
      <c r="B16" s="7" t="n">
        <v>550</v>
      </c>
    </row>
    <row r="17" customFormat="false" ht="15" hidden="false" customHeight="false" outlineLevel="0" collapsed="false">
      <c r="A17" s="2" t="s">
        <v>22</v>
      </c>
      <c r="B17" s="5" t="n">
        <v>0.6</v>
      </c>
      <c r="C17" s="3" t="s">
        <v>23</v>
      </c>
    </row>
    <row r="18" customFormat="false" ht="15" hidden="false" customHeight="false" outlineLevel="0" collapsed="false">
      <c r="A18" s="2"/>
    </row>
    <row r="19" customFormat="false" ht="15" hidden="false" customHeight="false" outlineLevel="0" collapsed="false">
      <c r="A19" s="1" t="s">
        <v>24</v>
      </c>
    </row>
    <row r="20" customFormat="false" ht="15" hidden="false" customHeight="false" outlineLevel="0" collapsed="false">
      <c r="A20" s="2" t="s">
        <v>25</v>
      </c>
      <c r="B20" s="8" t="n">
        <f aca="false">B5-B6</f>
        <v>36671205</v>
      </c>
    </row>
    <row r="21" customFormat="false" ht="15" hidden="false" customHeight="false" outlineLevel="0" collapsed="false">
      <c r="A21" s="2" t="s">
        <v>26</v>
      </c>
      <c r="B21" s="9" t="n">
        <f aca="false">B20/B8/1000000</f>
        <v>386.012684210526</v>
      </c>
    </row>
    <row r="22" customFormat="false" ht="15" hidden="false" customHeight="false" outlineLevel="0" collapsed="false">
      <c r="A22" s="2" t="s">
        <v>27</v>
      </c>
      <c r="B22" s="9" t="n">
        <f aca="false">B20/B7/1000000</f>
        <v>407.457833333333</v>
      </c>
    </row>
    <row r="23" customFormat="false" ht="15" hidden="false" customHeight="false" outlineLevel="0" collapsed="false">
      <c r="A23" s="2" t="s">
        <v>28</v>
      </c>
      <c r="B23" s="9" t="n">
        <f aca="false">B20/B9/1000000</f>
        <v>349.249571428571</v>
      </c>
    </row>
    <row r="24" customFormat="false" ht="15" hidden="false" customHeight="false" outlineLevel="0" collapsed="false">
      <c r="A24" s="2" t="s">
        <v>29</v>
      </c>
      <c r="B24" s="10" t="n">
        <f aca="false">(1+B11)*(1+B12)*(1+B13)*(1+B14)*(1+B15)</f>
        <v>0.84633255</v>
      </c>
    </row>
    <row r="25" customFormat="false" ht="15" hidden="false" customHeight="false" outlineLevel="0" collapsed="false">
      <c r="A25" s="2" t="s">
        <v>30</v>
      </c>
      <c r="B25" s="8" t="n">
        <f aca="false">B10*B24</f>
        <v>319407.5970351</v>
      </c>
    </row>
    <row r="26" customFormat="false" ht="15" hidden="false" customHeight="false" outlineLevel="0" collapsed="false">
      <c r="A26" s="2" t="s">
        <v>31</v>
      </c>
      <c r="B26" s="9" t="n">
        <f aca="false">B25*B4/1000000</f>
        <v>378.338298688076</v>
      </c>
    </row>
    <row r="27" customFormat="false" ht="15" hidden="false" customHeight="false" outlineLevel="0" collapsed="false">
      <c r="A27" s="1" t="s">
        <v>32</v>
      </c>
      <c r="B27" s="11" t="n">
        <f aca="false">B17*B21+(1-B17)*B26</f>
        <v>382.942930001546</v>
      </c>
    </row>
    <row r="28" customFormat="false" ht="15" hidden="false" customHeight="false" outlineLevel="0" collapsed="false">
      <c r="A28" s="2" t="s">
        <v>33</v>
      </c>
      <c r="B28" s="12" t="n">
        <f aca="false">B16/B27-1</f>
        <v>0.43624534339302</v>
      </c>
    </row>
    <row r="29" customFormat="false" ht="15" hidden="false" customHeight="false" outlineLevel="0" collapsed="false">
      <c r="A29" s="2" t="s">
        <v>34</v>
      </c>
      <c r="B29" s="12" t="n">
        <f aca="false">B5/(B16*1000000)</f>
        <v>0.0708203727272727</v>
      </c>
    </row>
    <row r="30" customFormat="false" ht="15" hidden="false" customHeight="false" outlineLevel="0" collapsed="false">
      <c r="A30" s="2" t="s">
        <v>35</v>
      </c>
      <c r="B30" s="8" t="n">
        <f aca="false">B16*1000000*0.1+B6</f>
        <v>57280000</v>
      </c>
    </row>
    <row r="31" customFormat="false" ht="15" hidden="false" customHeight="false" outlineLevel="0" collapsed="false">
      <c r="A31" s="2" t="s">
        <v>36</v>
      </c>
      <c r="B31" s="8" t="n">
        <f aca="false">B30/B4/12</f>
        <v>4029.82974532151</v>
      </c>
    </row>
    <row r="33" customFormat="false" ht="15" hidden="false" customHeight="false" outlineLevel="0" collapsed="false">
      <c r="A33" s="1" t="s">
        <v>37</v>
      </c>
    </row>
    <row r="34" customFormat="false" ht="15" hidden="false" customHeight="false" outlineLevel="0" collapsed="false">
      <c r="B34" s="13" t="n">
        <v>0.08</v>
      </c>
      <c r="C34" s="13" t="n">
        <v>0.09</v>
      </c>
      <c r="D34" s="13" t="n">
        <v>0.1</v>
      </c>
      <c r="E34" s="13" t="n">
        <v>0.11</v>
      </c>
      <c r="F34" s="13" t="n">
        <v>0.12</v>
      </c>
      <c r="H34" s="1" t="s">
        <v>38</v>
      </c>
    </row>
    <row r="35" customFormat="false" ht="15" hidden="false" customHeight="false" outlineLevel="0" collapsed="false">
      <c r="A35" s="2" t="s">
        <v>39</v>
      </c>
      <c r="B35" s="8" t="n">
        <f aca="false">($H35-$B$6)/B$34/1000000</f>
        <v>603.726875</v>
      </c>
      <c r="C35" s="8" t="n">
        <f aca="false">($H35-$B$6)/C$34/1000000</f>
        <v>536.646111111111</v>
      </c>
      <c r="D35" s="8" t="n">
        <f aca="false">($H35-$B$6)/D$34/1000000</f>
        <v>482.9815</v>
      </c>
      <c r="E35" s="8" t="n">
        <f aca="false">($H35-$B$6)/E$34/1000000</f>
        <v>439.074090909091</v>
      </c>
      <c r="F35" s="8" t="n">
        <f aca="false">($H35-$B$6)/F$34/1000000</f>
        <v>402.484583333333</v>
      </c>
      <c r="H35" s="4" t="n">
        <v>50578150</v>
      </c>
    </row>
    <row r="36" customFormat="false" ht="15" hidden="false" customHeight="false" outlineLevel="0" collapsed="false">
      <c r="A36" s="2" t="s">
        <v>40</v>
      </c>
      <c r="B36" s="8" t="n">
        <f aca="false">($H36-$B$6)/B$34/1000000</f>
        <v>511.5</v>
      </c>
      <c r="C36" s="8" t="n">
        <f aca="false">($H36-$B$6)/C$34/1000000</f>
        <v>454.666666666667</v>
      </c>
      <c r="D36" s="8" t="n">
        <f aca="false">($H36-$B$6)/D$34/1000000</f>
        <v>409.2</v>
      </c>
      <c r="E36" s="8" t="n">
        <f aca="false">($H36-$B$6)/E$34/1000000</f>
        <v>372</v>
      </c>
      <c r="F36" s="8" t="n">
        <f aca="false">($H36-$B$6)/F$34/1000000</f>
        <v>341</v>
      </c>
      <c r="H36" s="4" t="n">
        <v>43200000</v>
      </c>
    </row>
    <row r="37" customFormat="false" ht="15" hidden="false" customHeight="false" outlineLevel="0" collapsed="false">
      <c r="A37" s="2" t="s">
        <v>41</v>
      </c>
      <c r="B37" s="8" t="n">
        <f aca="false">($H37-$B$6)/B$34/1000000</f>
        <v>540</v>
      </c>
      <c r="C37" s="8" t="n">
        <f aca="false">($H37-$B$6)/C$34/1000000</f>
        <v>480</v>
      </c>
      <c r="D37" s="8" t="n">
        <f aca="false">($H37-$B$6)/D$34/1000000</f>
        <v>432</v>
      </c>
      <c r="E37" s="8" t="n">
        <f aca="false">($H37-$B$6)/E$34/1000000</f>
        <v>392.727272727273</v>
      </c>
      <c r="F37" s="8" t="n">
        <f aca="false">($H37-$B$6)/F$34/1000000</f>
        <v>360</v>
      </c>
      <c r="H37" s="4" t="n">
        <v>45480000</v>
      </c>
    </row>
    <row r="38" customFormat="false" ht="15" hidden="false" customHeight="false" outlineLevel="0" collapsed="false">
      <c r="A38" s="2" t="s">
        <v>42</v>
      </c>
      <c r="B38" s="8" t="n">
        <f aca="false">($H38-$B$6)/B$34/1000000</f>
        <v>511.5</v>
      </c>
      <c r="C38" s="8" t="n">
        <f aca="false">($H38-$B$6)/C$34/1000000</f>
        <v>454.666666666667</v>
      </c>
      <c r="D38" s="8" t="n">
        <f aca="false">($H38-$B$6)/D$34/1000000</f>
        <v>409.2</v>
      </c>
      <c r="E38" s="8" t="n">
        <f aca="false">($H38-$B$6)/E$34/1000000</f>
        <v>372</v>
      </c>
      <c r="F38" s="8" t="n">
        <f aca="false">($H38-$B$6)/F$34/1000000</f>
        <v>341</v>
      </c>
      <c r="H38" s="4" t="n">
        <v>43200000</v>
      </c>
    </row>
    <row r="39" customFormat="false" ht="15" hidden="false" customHeight="false" outlineLevel="0" collapsed="false">
      <c r="A39" s="2" t="s">
        <v>43</v>
      </c>
      <c r="B39" s="8" t="n">
        <f aca="false">($H39-$B$6)/B$34/1000000</f>
        <v>489.71875</v>
      </c>
      <c r="C39" s="8" t="n">
        <f aca="false">($H39-$B$6)/C$34/1000000</f>
        <v>435.305555555556</v>
      </c>
      <c r="D39" s="8" t="n">
        <f aca="false">($H39-$B$6)/D$34/1000000</f>
        <v>391.775</v>
      </c>
      <c r="E39" s="8" t="n">
        <f aca="false">($H39-$B$6)/E$34/1000000</f>
        <v>356.159090909091</v>
      </c>
      <c r="F39" s="8" t="n">
        <f aca="false">($H39-$B$6)/F$34/1000000</f>
        <v>326.479166666667</v>
      </c>
      <c r="H39" s="4" t="n">
        <v>41457500</v>
      </c>
    </row>
    <row r="40" customFormat="false" ht="15" hidden="false" customHeight="false" outlineLevel="0" collapsed="false">
      <c r="A40" s="2" t="s">
        <v>44</v>
      </c>
      <c r="B40" s="8" t="n">
        <f aca="false">($H40-$B$6)/B$34/1000000</f>
        <v>458.3900625</v>
      </c>
      <c r="C40" s="8" t="n">
        <f aca="false">($H40-$B$6)/C$34/1000000</f>
        <v>407.457833333333</v>
      </c>
      <c r="D40" s="8" t="n">
        <f aca="false">($H40-$B$6)/D$34/1000000</f>
        <v>366.71205</v>
      </c>
      <c r="E40" s="8" t="n">
        <f aca="false">($H40-$B$6)/E$34/1000000</f>
        <v>333.374590909091</v>
      </c>
      <c r="F40" s="8" t="n">
        <f aca="false">($H40-$B$6)/F$34/1000000</f>
        <v>305.593375</v>
      </c>
      <c r="H40" s="4" t="n">
        <v>38951205</v>
      </c>
    </row>
    <row r="41" customFormat="false" ht="15" hidden="false" customHeight="false" outlineLevel="0" collapsed="false">
      <c r="A41" s="2" t="s">
        <v>45</v>
      </c>
      <c r="B41" s="8" t="n">
        <f aca="false">($H41-$B$6)/B$34/1000000</f>
        <v>468.1278625</v>
      </c>
      <c r="C41" s="8" t="n">
        <f aca="false">($H41-$B$6)/C$34/1000000</f>
        <v>416.113655555556</v>
      </c>
      <c r="D41" s="8" t="n">
        <f aca="false">($H41-$B$6)/D$34/1000000</f>
        <v>374.50229</v>
      </c>
      <c r="E41" s="8" t="n">
        <f aca="false">($H41-$B$6)/E$34/1000000</f>
        <v>340.456627272727</v>
      </c>
      <c r="F41" s="8" t="n">
        <f aca="false">($H41-$B$6)/F$34/1000000</f>
        <v>312.085241666667</v>
      </c>
      <c r="H41" s="4" t="n">
        <v>39730229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4"/>
    <col collapsed="false" customWidth="true" hidden="false" outlineLevel="0" max="5" min="4" style="0" width="8"/>
    <col collapsed="false" customWidth="true" hidden="false" outlineLevel="0" max="6" min="6" style="0" width="14"/>
    <col collapsed="false" customWidth="true" hidden="false" outlineLevel="0" max="8" min="7" style="0" width="9"/>
    <col collapsed="false" customWidth="true" hidden="false" outlineLevel="0" max="10" min="9" style="0" width="10"/>
    <col collapsed="false" customWidth="true" hidden="false" outlineLevel="0" max="11" min="11" style="0" width="12"/>
    <col collapsed="false" customWidth="true" hidden="false" outlineLevel="0" max="12" min="12" style="0" width="9"/>
    <col collapsed="false" customWidth="true" hidden="false" outlineLevel="0" max="13" min="13" style="0" width="16"/>
    <col collapsed="false" customWidth="true" hidden="false" outlineLevel="0" max="14" min="14" style="0" width="18"/>
    <col collapsed="false" customWidth="true" hidden="false" outlineLevel="0" max="15" min="15" style="0" width="70"/>
  </cols>
  <sheetData>
    <row r="1" customFormat="false" ht="39.75" hidden="false" customHeight="true" outlineLevel="0" collapsed="false">
      <c r="A1" s="14" t="s">
        <v>46</v>
      </c>
      <c r="B1" s="14" t="s">
        <v>47</v>
      </c>
      <c r="C1" s="14" t="s">
        <v>48</v>
      </c>
      <c r="D1" s="14" t="s">
        <v>49</v>
      </c>
      <c r="E1" s="14" t="s">
        <v>50</v>
      </c>
      <c r="F1" s="14" t="s">
        <v>51</v>
      </c>
      <c r="G1" s="14" t="s">
        <v>52</v>
      </c>
      <c r="H1" s="14" t="s">
        <v>53</v>
      </c>
      <c r="I1" s="14" t="s">
        <v>54</v>
      </c>
      <c r="J1" s="14" t="s">
        <v>55</v>
      </c>
      <c r="K1" s="14" t="s">
        <v>56</v>
      </c>
      <c r="L1" s="14" t="s">
        <v>57</v>
      </c>
      <c r="M1" s="14" t="s">
        <v>58</v>
      </c>
      <c r="N1" s="14" t="s">
        <v>59</v>
      </c>
      <c r="O1" s="14" t="s">
        <v>60</v>
      </c>
    </row>
    <row r="2" customFormat="false" ht="85.05" hidden="false" customHeight="false" outlineLevel="0" collapsed="false">
      <c r="A2" s="15" t="n">
        <v>323011386</v>
      </c>
      <c r="B2" s="16" t="s">
        <v>61</v>
      </c>
      <c r="C2" s="16" t="s">
        <v>62</v>
      </c>
      <c r="D2" s="16" t="n">
        <v>0.74</v>
      </c>
      <c r="E2" s="16" t="n">
        <v>12</v>
      </c>
      <c r="F2" s="16" t="s">
        <v>62</v>
      </c>
      <c r="G2" s="16" t="n">
        <v>1084.4</v>
      </c>
      <c r="H2" s="16" t="n">
        <v>488</v>
      </c>
      <c r="I2" s="16" t="n">
        <v>450000</v>
      </c>
      <c r="J2" s="16" t="s">
        <v>63</v>
      </c>
      <c r="K2" s="16" t="s">
        <v>64</v>
      </c>
      <c r="L2" s="16"/>
      <c r="M2" s="16" t="s">
        <v>65</v>
      </c>
      <c r="N2" s="16"/>
      <c r="O2" s="16" t="s">
        <v>66</v>
      </c>
    </row>
    <row r="3" customFormat="false" ht="74.6" hidden="false" customHeight="false" outlineLevel="0" collapsed="false">
      <c r="A3" s="15" t="n">
        <v>332617346</v>
      </c>
      <c r="B3" s="16" t="s">
        <v>67</v>
      </c>
      <c r="C3" s="16" t="s">
        <v>62</v>
      </c>
      <c r="D3" s="16" t="n">
        <v>0.62</v>
      </c>
      <c r="E3" s="16" t="n">
        <v>6</v>
      </c>
      <c r="F3" s="16" t="s">
        <v>62</v>
      </c>
      <c r="G3" s="16" t="n">
        <v>422.1</v>
      </c>
      <c r="H3" s="16" t="n">
        <v>150</v>
      </c>
      <c r="I3" s="16" t="n">
        <v>355366</v>
      </c>
      <c r="J3" s="16" t="s">
        <v>68</v>
      </c>
      <c r="K3" s="16" t="s">
        <v>69</v>
      </c>
      <c r="L3" s="16"/>
      <c r="M3" s="16" t="s">
        <v>70</v>
      </c>
      <c r="N3" s="16"/>
      <c r="O3" s="16" t="s">
        <v>71</v>
      </c>
    </row>
    <row r="4" customFormat="false" ht="74.6" hidden="false" customHeight="false" outlineLevel="0" collapsed="false">
      <c r="A4" s="15" t="n">
        <v>317611480</v>
      </c>
      <c r="B4" s="16" t="s">
        <v>72</v>
      </c>
      <c r="C4" s="16" t="s">
        <v>73</v>
      </c>
      <c r="D4" s="16" t="n">
        <v>1.22</v>
      </c>
      <c r="E4" s="16" t="n">
        <v>8</v>
      </c>
      <c r="F4" s="16" t="s">
        <v>74</v>
      </c>
      <c r="G4" s="16" t="n">
        <v>1580.5</v>
      </c>
      <c r="H4" s="16" t="n">
        <v>360</v>
      </c>
      <c r="I4" s="16" t="n">
        <v>227776</v>
      </c>
      <c r="J4" s="16" t="s">
        <v>63</v>
      </c>
      <c r="K4" s="16" t="s">
        <v>69</v>
      </c>
      <c r="L4" s="16"/>
      <c r="M4" s="16" t="s">
        <v>75</v>
      </c>
      <c r="N4" s="16"/>
      <c r="O4" s="16" t="s">
        <v>76</v>
      </c>
    </row>
    <row r="5" customFormat="false" ht="85.05" hidden="false" customHeight="false" outlineLevel="0" collapsed="false">
      <c r="A5" s="15" t="n">
        <v>334575746</v>
      </c>
      <c r="B5" s="16" t="s">
        <v>77</v>
      </c>
      <c r="C5" s="16" t="s">
        <v>73</v>
      </c>
      <c r="D5" s="16" t="n">
        <v>1.36</v>
      </c>
      <c r="E5" s="16" t="n">
        <v>13</v>
      </c>
      <c r="F5" s="16" t="s">
        <v>78</v>
      </c>
      <c r="G5" s="16" t="n">
        <v>963.1</v>
      </c>
      <c r="H5" s="16" t="n">
        <v>372</v>
      </c>
      <c r="I5" s="16" t="n">
        <v>386253</v>
      </c>
      <c r="J5" s="16" t="s">
        <v>63</v>
      </c>
      <c r="K5" s="16" t="s">
        <v>64</v>
      </c>
      <c r="L5" s="16"/>
      <c r="M5" s="16" t="s">
        <v>70</v>
      </c>
      <c r="N5" s="16"/>
      <c r="O5" s="16" t="s">
        <v>79</v>
      </c>
    </row>
    <row r="6" customFormat="false" ht="85.05" hidden="false" customHeight="false" outlineLevel="0" collapsed="false">
      <c r="A6" s="15" t="n">
        <v>333669809</v>
      </c>
      <c r="B6" s="16" t="s">
        <v>80</v>
      </c>
      <c r="C6" s="16" t="s">
        <v>81</v>
      </c>
      <c r="D6" s="16" t="n">
        <v>1.43</v>
      </c>
      <c r="E6" s="16" t="n">
        <v>9</v>
      </c>
      <c r="F6" s="16" t="s">
        <v>82</v>
      </c>
      <c r="G6" s="16" t="n">
        <v>1577</v>
      </c>
      <c r="H6" s="16" t="n">
        <v>630</v>
      </c>
      <c r="I6" s="16" t="n">
        <v>399493</v>
      </c>
      <c r="J6" s="16" t="s">
        <v>63</v>
      </c>
      <c r="K6" s="16" t="s">
        <v>69</v>
      </c>
      <c r="L6" s="16"/>
      <c r="M6" s="16" t="s">
        <v>75</v>
      </c>
      <c r="N6" s="16"/>
      <c r="O6" s="16" t="s">
        <v>83</v>
      </c>
    </row>
    <row r="7" customFormat="false" ht="85.05" hidden="false" customHeight="false" outlineLevel="0" collapsed="false">
      <c r="A7" s="15" t="n">
        <v>334638013</v>
      </c>
      <c r="B7" s="16" t="s">
        <v>84</v>
      </c>
      <c r="C7" s="16" t="s">
        <v>81</v>
      </c>
      <c r="D7" s="16" t="n">
        <v>1.49</v>
      </c>
      <c r="E7" s="16" t="n">
        <v>4</v>
      </c>
      <c r="F7" s="16" t="s">
        <v>82</v>
      </c>
      <c r="G7" s="16" t="n">
        <v>867</v>
      </c>
      <c r="H7" s="16" t="n">
        <v>250</v>
      </c>
      <c r="I7" s="16" t="n">
        <v>288351</v>
      </c>
      <c r="J7" s="16" t="s">
        <v>68</v>
      </c>
      <c r="K7" s="16" t="s">
        <v>69</v>
      </c>
      <c r="L7" s="16"/>
      <c r="M7" s="16" t="s">
        <v>70</v>
      </c>
      <c r="N7" s="16"/>
      <c r="O7" s="16" t="s">
        <v>85</v>
      </c>
    </row>
    <row r="8" customFormat="false" ht="85.05" hidden="false" customHeight="false" outlineLevel="0" collapsed="false">
      <c r="A8" s="15" t="n">
        <v>333432976</v>
      </c>
      <c r="B8" s="16" t="s">
        <v>86</v>
      </c>
      <c r="C8" s="16" t="s">
        <v>81</v>
      </c>
      <c r="D8" s="16" t="n">
        <v>1.5</v>
      </c>
      <c r="E8" s="16" t="n">
        <v>10</v>
      </c>
      <c r="F8" s="16" t="s">
        <v>82</v>
      </c>
      <c r="G8" s="16" t="n">
        <v>1086.7</v>
      </c>
      <c r="H8" s="16" t="n">
        <v>206.9</v>
      </c>
      <c r="I8" s="16" t="n">
        <v>190416</v>
      </c>
      <c r="J8" s="16" t="s">
        <v>68</v>
      </c>
      <c r="K8" s="16" t="s">
        <v>69</v>
      </c>
      <c r="L8" s="16"/>
      <c r="M8" s="16"/>
      <c r="N8" s="16"/>
      <c r="O8" s="16" t="s">
        <v>87</v>
      </c>
    </row>
    <row r="9" customFormat="false" ht="85.05" hidden="false" customHeight="false" outlineLevel="0" collapsed="false">
      <c r="A9" s="15" t="n">
        <v>322849082</v>
      </c>
      <c r="B9" s="16" t="s">
        <v>88</v>
      </c>
      <c r="C9" s="16" t="s">
        <v>89</v>
      </c>
      <c r="D9" s="16" t="n">
        <v>1.58</v>
      </c>
      <c r="E9" s="16" t="n">
        <v>7</v>
      </c>
      <c r="F9" s="16" t="s">
        <v>90</v>
      </c>
      <c r="G9" s="16" t="n">
        <v>903</v>
      </c>
      <c r="H9" s="16" t="n">
        <v>350</v>
      </c>
      <c r="I9" s="16" t="n">
        <v>387597</v>
      </c>
      <c r="J9" s="16" t="s">
        <v>63</v>
      </c>
      <c r="K9" s="16" t="s">
        <v>69</v>
      </c>
      <c r="L9" s="16"/>
      <c r="M9" s="16" t="s">
        <v>91</v>
      </c>
      <c r="N9" s="16"/>
      <c r="O9" s="16" t="s">
        <v>92</v>
      </c>
    </row>
    <row r="10" customFormat="false" ht="85.05" hidden="false" customHeight="false" outlineLevel="0" collapsed="false">
      <c r="A10" s="15" t="n">
        <v>328649553</v>
      </c>
      <c r="B10" s="16" t="s">
        <v>93</v>
      </c>
      <c r="C10" s="16" t="s">
        <v>89</v>
      </c>
      <c r="D10" s="16" t="n">
        <v>1.59</v>
      </c>
      <c r="E10" s="16" t="n">
        <v>6</v>
      </c>
      <c r="F10" s="16" t="s">
        <v>90</v>
      </c>
      <c r="G10" s="16" t="n">
        <v>1500</v>
      </c>
      <c r="H10" s="16" t="n">
        <v>600</v>
      </c>
      <c r="I10" s="16" t="n">
        <v>400000</v>
      </c>
      <c r="J10" s="16" t="s">
        <v>68</v>
      </c>
      <c r="K10" s="16" t="s">
        <v>69</v>
      </c>
      <c r="L10" s="16"/>
      <c r="M10" s="16" t="s">
        <v>91</v>
      </c>
      <c r="N10" s="16"/>
      <c r="O10" s="16" t="s">
        <v>94</v>
      </c>
    </row>
    <row r="11" customFormat="false" ht="85.05" hidden="false" customHeight="false" outlineLevel="0" collapsed="false">
      <c r="A11" s="15" t="n">
        <v>334575896</v>
      </c>
      <c r="B11" s="16" t="s">
        <v>95</v>
      </c>
      <c r="C11" s="16" t="s">
        <v>96</v>
      </c>
      <c r="D11" s="16" t="n">
        <v>1.68</v>
      </c>
      <c r="E11" s="16" t="n">
        <v>6</v>
      </c>
      <c r="F11" s="16" t="s">
        <v>74</v>
      </c>
      <c r="G11" s="16" t="n">
        <v>1305</v>
      </c>
      <c r="H11" s="16" t="n">
        <v>400</v>
      </c>
      <c r="I11" s="16" t="n">
        <v>306513</v>
      </c>
      <c r="J11" s="16" t="s">
        <v>63</v>
      </c>
      <c r="K11" s="16" t="s">
        <v>64</v>
      </c>
      <c r="L11" s="16"/>
      <c r="M11" s="16" t="s">
        <v>70</v>
      </c>
      <c r="N11" s="16"/>
      <c r="O11" s="16" t="s">
        <v>97</v>
      </c>
    </row>
    <row r="12" customFormat="false" ht="95.5" hidden="false" customHeight="false" outlineLevel="0" collapsed="false">
      <c r="A12" s="15" t="n">
        <v>331803513</v>
      </c>
      <c r="B12" s="16" t="s">
        <v>98</v>
      </c>
      <c r="C12" s="16" t="s">
        <v>81</v>
      </c>
      <c r="D12" s="16" t="n">
        <v>1.39</v>
      </c>
      <c r="E12" s="16" t="n">
        <v>4</v>
      </c>
      <c r="F12" s="16" t="s">
        <v>82</v>
      </c>
      <c r="G12" s="16" t="n">
        <v>477</v>
      </c>
      <c r="H12" s="16" t="n">
        <v>250</v>
      </c>
      <c r="I12" s="16" t="n">
        <v>524109</v>
      </c>
      <c r="J12" s="16" t="s">
        <v>68</v>
      </c>
      <c r="K12" s="16" t="s">
        <v>64</v>
      </c>
      <c r="L12" s="16"/>
      <c r="M12" s="16" t="s">
        <v>75</v>
      </c>
      <c r="N12" s="16"/>
      <c r="O12" s="16" t="s">
        <v>99</v>
      </c>
    </row>
    <row r="13" customFormat="false" ht="85.05" hidden="false" customHeight="false" outlineLevel="0" collapsed="false">
      <c r="A13" s="15" t="n">
        <v>323692057</v>
      </c>
      <c r="B13" s="16" t="s">
        <v>100</v>
      </c>
      <c r="C13" s="16" t="s">
        <v>73</v>
      </c>
      <c r="D13" s="16" t="n">
        <v>1.29</v>
      </c>
      <c r="E13" s="16" t="n">
        <v>9</v>
      </c>
      <c r="F13" s="16" t="s">
        <v>74</v>
      </c>
      <c r="G13" s="16" t="n">
        <v>2035</v>
      </c>
      <c r="H13" s="16" t="n">
        <v>750</v>
      </c>
      <c r="I13" s="16" t="n">
        <v>368550</v>
      </c>
      <c r="J13" s="16" t="s">
        <v>68</v>
      </c>
      <c r="K13" s="16" t="s">
        <v>64</v>
      </c>
      <c r="L13" s="16"/>
      <c r="M13" s="16"/>
      <c r="N13" s="16"/>
      <c r="O13" s="16" t="s">
        <v>101</v>
      </c>
    </row>
    <row r="14" customFormat="false" ht="95.5" hidden="false" customHeight="false" outlineLevel="0" collapsed="false">
      <c r="A14" s="15" t="n">
        <v>331348350</v>
      </c>
      <c r="B14" s="16" t="s">
        <v>102</v>
      </c>
      <c r="C14" s="16" t="s">
        <v>62</v>
      </c>
      <c r="D14" s="16" t="n">
        <v>0.22</v>
      </c>
      <c r="E14" s="16" t="n">
        <v>2</v>
      </c>
      <c r="F14" s="16" t="s">
        <v>62</v>
      </c>
      <c r="G14" s="16" t="n">
        <v>6647.6</v>
      </c>
      <c r="H14" s="16" t="n">
        <v>1300</v>
      </c>
      <c r="I14" s="16" t="n">
        <v>195559</v>
      </c>
      <c r="J14" s="16" t="s">
        <v>68</v>
      </c>
      <c r="K14" s="16" t="s">
        <v>64</v>
      </c>
      <c r="L14" s="16" t="n">
        <v>9</v>
      </c>
      <c r="M14" s="16" t="s">
        <v>75</v>
      </c>
      <c r="N14" s="16"/>
      <c r="O14" s="16" t="s">
        <v>103</v>
      </c>
    </row>
    <row r="15" customFormat="false" ht="85.05" hidden="false" customHeight="false" outlineLevel="0" collapsed="false">
      <c r="A15" s="15" t="n">
        <v>331580718</v>
      </c>
      <c r="B15" s="16" t="s">
        <v>104</v>
      </c>
      <c r="C15" s="16" t="s">
        <v>96</v>
      </c>
      <c r="D15" s="16" t="n">
        <v>1.6</v>
      </c>
      <c r="E15" s="16" t="n">
        <v>2</v>
      </c>
      <c r="F15" s="16" t="s">
        <v>74</v>
      </c>
      <c r="G15" s="16" t="n">
        <v>3952.6</v>
      </c>
      <c r="H15" s="16" t="n">
        <v>1140</v>
      </c>
      <c r="I15" s="16" t="n">
        <v>288418</v>
      </c>
      <c r="J15" s="16" t="s">
        <v>63</v>
      </c>
      <c r="K15" s="16" t="s">
        <v>69</v>
      </c>
      <c r="L15" s="16" t="n">
        <v>10</v>
      </c>
      <c r="M15" s="16" t="s">
        <v>75</v>
      </c>
      <c r="N15" s="16"/>
      <c r="O15" s="16" t="s">
        <v>105</v>
      </c>
    </row>
    <row r="16" customFormat="false" ht="85.05" hidden="false" customHeight="false" outlineLevel="0" collapsed="false">
      <c r="A16" s="15" t="n">
        <v>334521519</v>
      </c>
      <c r="B16" s="16" t="s">
        <v>106</v>
      </c>
      <c r="C16" s="16" t="s">
        <v>62</v>
      </c>
      <c r="D16" s="16" t="n">
        <v>1.12</v>
      </c>
      <c r="E16" s="16" t="n">
        <v>12</v>
      </c>
      <c r="F16" s="16" t="s">
        <v>90</v>
      </c>
      <c r="G16" s="16" t="n">
        <v>657.2</v>
      </c>
      <c r="H16" s="16" t="n">
        <v>160</v>
      </c>
      <c r="I16" s="16" t="n">
        <v>243457</v>
      </c>
      <c r="J16" s="16" t="s">
        <v>68</v>
      </c>
      <c r="K16" s="16" t="s">
        <v>64</v>
      </c>
      <c r="L16" s="16" t="n">
        <v>10.5</v>
      </c>
      <c r="M16" s="16"/>
      <c r="N16" s="16"/>
      <c r="O16" s="16" t="s">
        <v>107</v>
      </c>
    </row>
  </sheetData>
  <autoFilter ref="A1:O16"/>
  <hyperlinks>
    <hyperlink ref="A2" r:id="rId2" display="https://www.cian.ru/sale/commercial/323011386/?mlSearchSessionGuid=3ac2b91ec48fa48ad74ab198ec843006"/>
    <hyperlink ref="A3" r:id="rId3" display="https://www.cian.ru/sale/commercial/332617346/?mlSearchSessionGuid=3ac2b91ec48fa48ad74ab198ec843006"/>
    <hyperlink ref="A4" r:id="rId4" display="https://www.cian.ru/sale/commercial/317611480/?mlSearchSessionGuid=b132bea00d2adfdcf32c0349d93bd4fe"/>
    <hyperlink ref="A5" r:id="rId5" display="https://www.cian.ru/sale/commercial/334575746/?mlSearchSessionGuid=f83ce42be4e85d371ce24e079ac9cb59"/>
    <hyperlink ref="A6" r:id="rId6" display="https://www.cian.ru/sale/commercial/333669809/?mlSearchSessionGuid=3ac2b91ec48fa48ad74ab198ec843006"/>
    <hyperlink ref="A7" r:id="rId7" display="https://www.cian.ru/sale/commercial/334638013/?mlSearchSessionGuid=3ac2b91ec48fa48ad74ab198ec843006"/>
    <hyperlink ref="A8" r:id="rId8" display="https://www.cian.ru/sale/commercial/333432976/?mlSearchSessionGuid=3ac2b91ec48fa48ad74ab198ec843006"/>
    <hyperlink ref="A9" r:id="rId9" display="https://www.cian.ru/sale/commercial/322849082/?mlSearchSessionGuid=3ac2b91ec48fa48ad74ab198ec843006"/>
    <hyperlink ref="A10" r:id="rId10" display="https://www.cian.ru/sale/commercial/328649553/?mlSearchSessionGuid=3ac2b91ec48fa48ad74ab198ec843006"/>
    <hyperlink ref="A11" r:id="rId11" display="https://www.cian.ru/sale/commercial/334575896/?mlSearchSessionGuid=b132bea00d2adfdcf32c0349d93bd4fe"/>
    <hyperlink ref="A12" r:id="rId12" display="https://www.cian.ru/sale/commercial/331803513/?mlSearchSessionGuid=3ac2b91ec48fa48ad74ab198ec843006"/>
    <hyperlink ref="A13" r:id="rId13" display="https://www.cian.ru/sale/commercial/323692057/?mlSearchSessionGuid=b132bea00d2adfdcf32c0349d93bd4fe"/>
    <hyperlink ref="A14" r:id="rId14" display="https://www.cian.ru/sale/commercial/331348350/?mlSearchSessionGuid=3ac2b91ec48fa48ad74ab198ec843006"/>
    <hyperlink ref="A15" r:id="rId15" display="https://www.cian.ru/sale/commercial/331580718/?mlSearchSessionGuid=b132bea00d2adfdcf32c0349d93bd4fe"/>
    <hyperlink ref="A16" r:id="rId16" display="https://www.cian.ru/sale/commercial/334521519/?mlSearchSessionGuid=3ac2b91ec48fa48ad74ab198ec84300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legacyDrawing r:id="rId1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4"/>
    <col collapsed="false" customWidth="true" hidden="false" outlineLevel="0" max="5" min="4" style="0" width="8"/>
    <col collapsed="false" customWidth="true" hidden="false" outlineLevel="0" max="6" min="6" style="0" width="14"/>
    <col collapsed="false" customWidth="true" hidden="false" outlineLevel="0" max="8" min="7" style="0" width="9"/>
    <col collapsed="false" customWidth="true" hidden="false" outlineLevel="0" max="10" min="9" style="0" width="10"/>
    <col collapsed="false" customWidth="true" hidden="false" outlineLevel="0" max="11" min="11" style="0" width="12"/>
    <col collapsed="false" customWidth="true" hidden="false" outlineLevel="0" max="12" min="12" style="0" width="9"/>
    <col collapsed="false" customWidth="true" hidden="false" outlineLevel="0" max="13" min="13" style="0" width="16"/>
    <col collapsed="false" customWidth="true" hidden="false" outlineLevel="0" max="14" min="14" style="0" width="18"/>
    <col collapsed="false" customWidth="true" hidden="false" outlineLevel="0" max="15" min="15" style="0" width="70"/>
  </cols>
  <sheetData>
    <row r="1" customFormat="false" ht="39.75" hidden="false" customHeight="true" outlineLevel="0" collapsed="false">
      <c r="A1" s="14" t="s">
        <v>46</v>
      </c>
      <c r="B1" s="14" t="s">
        <v>47</v>
      </c>
      <c r="C1" s="14" t="s">
        <v>48</v>
      </c>
      <c r="D1" s="14" t="s">
        <v>49</v>
      </c>
      <c r="E1" s="14" t="s">
        <v>50</v>
      </c>
      <c r="F1" s="14" t="s">
        <v>51</v>
      </c>
      <c r="G1" s="14" t="s">
        <v>52</v>
      </c>
      <c r="H1" s="14" t="s">
        <v>53</v>
      </c>
      <c r="I1" s="14" t="s">
        <v>54</v>
      </c>
      <c r="J1" s="14" t="s">
        <v>55</v>
      </c>
      <c r="K1" s="14" t="s">
        <v>56</v>
      </c>
      <c r="L1" s="14" t="s">
        <v>57</v>
      </c>
      <c r="M1" s="14" t="s">
        <v>58</v>
      </c>
      <c r="N1" s="14" t="s">
        <v>59</v>
      </c>
      <c r="O1" s="14" t="s">
        <v>60</v>
      </c>
    </row>
    <row r="2" customFormat="false" ht="95.5" hidden="false" customHeight="false" outlineLevel="0" collapsed="false">
      <c r="A2" s="15" t="n">
        <v>331348350</v>
      </c>
      <c r="B2" s="16" t="s">
        <v>102</v>
      </c>
      <c r="C2" s="16" t="s">
        <v>62</v>
      </c>
      <c r="D2" s="16" t="n">
        <v>0.22</v>
      </c>
      <c r="E2" s="16" t="n">
        <v>2</v>
      </c>
      <c r="F2" s="16" t="s">
        <v>62</v>
      </c>
      <c r="G2" s="16" t="n">
        <v>6647.6</v>
      </c>
      <c r="H2" s="16" t="n">
        <v>1300</v>
      </c>
      <c r="I2" s="16" t="n">
        <v>195559</v>
      </c>
      <c r="J2" s="16" t="s">
        <v>68</v>
      </c>
      <c r="K2" s="16" t="s">
        <v>64</v>
      </c>
      <c r="L2" s="16" t="n">
        <v>9</v>
      </c>
      <c r="M2" s="16" t="s">
        <v>75</v>
      </c>
      <c r="N2" s="16"/>
      <c r="O2" s="16" t="s">
        <v>103</v>
      </c>
    </row>
    <row r="3" customFormat="false" ht="85.05" hidden="false" customHeight="false" outlineLevel="0" collapsed="false">
      <c r="A3" s="15" t="n">
        <v>331998933</v>
      </c>
      <c r="B3" s="16" t="s">
        <v>108</v>
      </c>
      <c r="C3" s="16" t="s">
        <v>62</v>
      </c>
      <c r="D3" s="16" t="n">
        <v>0.6</v>
      </c>
      <c r="E3" s="16" t="n">
        <v>9</v>
      </c>
      <c r="F3" s="16" t="s">
        <v>62</v>
      </c>
      <c r="G3" s="16" t="n">
        <v>4453.8</v>
      </c>
      <c r="H3" s="16" t="n">
        <v>1122.2</v>
      </c>
      <c r="I3" s="16" t="n">
        <v>251965</v>
      </c>
      <c r="J3" s="16" t="s">
        <v>63</v>
      </c>
      <c r="K3" s="16" t="s">
        <v>64</v>
      </c>
      <c r="L3" s="16"/>
      <c r="M3" s="16" t="s">
        <v>65</v>
      </c>
      <c r="N3" s="16"/>
      <c r="O3" s="16" t="s">
        <v>109</v>
      </c>
    </row>
    <row r="4" customFormat="false" ht="74.6" hidden="false" customHeight="false" outlineLevel="0" collapsed="false">
      <c r="A4" s="15" t="n">
        <v>332617346</v>
      </c>
      <c r="B4" s="16" t="s">
        <v>67</v>
      </c>
      <c r="C4" s="16" t="s">
        <v>62</v>
      </c>
      <c r="D4" s="16" t="n">
        <v>0.62</v>
      </c>
      <c r="E4" s="16" t="n">
        <v>6</v>
      </c>
      <c r="F4" s="16" t="s">
        <v>62</v>
      </c>
      <c r="G4" s="16" t="n">
        <v>422.1</v>
      </c>
      <c r="H4" s="16" t="n">
        <v>150</v>
      </c>
      <c r="I4" s="16" t="n">
        <v>355366</v>
      </c>
      <c r="J4" s="16" t="s">
        <v>68</v>
      </c>
      <c r="K4" s="16" t="s">
        <v>69</v>
      </c>
      <c r="L4" s="16"/>
      <c r="M4" s="16" t="s">
        <v>70</v>
      </c>
      <c r="N4" s="16"/>
      <c r="O4" s="16" t="s">
        <v>71</v>
      </c>
    </row>
    <row r="5" customFormat="false" ht="85.05" hidden="false" customHeight="false" outlineLevel="0" collapsed="false">
      <c r="A5" s="15" t="n">
        <v>334187339</v>
      </c>
      <c r="B5" s="16" t="s">
        <v>110</v>
      </c>
      <c r="C5" s="16" t="s">
        <v>62</v>
      </c>
      <c r="D5" s="16" t="n">
        <v>0.66</v>
      </c>
      <c r="E5" s="16" t="n">
        <v>6</v>
      </c>
      <c r="F5" s="16" t="s">
        <v>62</v>
      </c>
      <c r="G5" s="16" t="n">
        <v>264</v>
      </c>
      <c r="H5" s="16" t="n">
        <v>40</v>
      </c>
      <c r="I5" s="16" t="n">
        <v>151515</v>
      </c>
      <c r="J5" s="16" t="s">
        <v>68</v>
      </c>
      <c r="K5" s="16" t="s">
        <v>64</v>
      </c>
      <c r="L5" s="16"/>
      <c r="M5" s="16" t="s">
        <v>70</v>
      </c>
      <c r="N5" s="16"/>
      <c r="O5" s="16" t="s">
        <v>111</v>
      </c>
    </row>
    <row r="6" customFormat="false" ht="74.6" hidden="false" customHeight="false" outlineLevel="0" collapsed="false">
      <c r="A6" s="15" t="n">
        <v>333407108</v>
      </c>
      <c r="B6" s="16" t="s">
        <v>112</v>
      </c>
      <c r="C6" s="16" t="s">
        <v>62</v>
      </c>
      <c r="D6" s="16" t="n">
        <v>0.69</v>
      </c>
      <c r="E6" s="16" t="n">
        <v>7</v>
      </c>
      <c r="F6" s="16" t="s">
        <v>62</v>
      </c>
      <c r="G6" s="16" t="n">
        <v>264</v>
      </c>
      <c r="H6" s="16" t="n">
        <v>40</v>
      </c>
      <c r="I6" s="16" t="n">
        <v>151515</v>
      </c>
      <c r="J6" s="16" t="s">
        <v>68</v>
      </c>
      <c r="K6" s="16" t="s">
        <v>64</v>
      </c>
      <c r="L6" s="16"/>
      <c r="M6" s="16"/>
      <c r="N6" s="16"/>
      <c r="O6" s="16" t="s">
        <v>113</v>
      </c>
    </row>
    <row r="7" customFormat="false" ht="85.05" hidden="false" customHeight="false" outlineLevel="0" collapsed="false">
      <c r="A7" s="15" t="n">
        <v>323011386</v>
      </c>
      <c r="B7" s="16" t="s">
        <v>61</v>
      </c>
      <c r="C7" s="16" t="s">
        <v>62</v>
      </c>
      <c r="D7" s="16" t="n">
        <v>0.74</v>
      </c>
      <c r="E7" s="16" t="n">
        <v>12</v>
      </c>
      <c r="F7" s="16" t="s">
        <v>62</v>
      </c>
      <c r="G7" s="16" t="n">
        <v>1084.4</v>
      </c>
      <c r="H7" s="16" t="n">
        <v>488</v>
      </c>
      <c r="I7" s="16" t="n">
        <v>450000</v>
      </c>
      <c r="J7" s="16" t="s">
        <v>63</v>
      </c>
      <c r="K7" s="16" t="s">
        <v>64</v>
      </c>
      <c r="L7" s="16"/>
      <c r="M7" s="16" t="s">
        <v>65</v>
      </c>
      <c r="N7" s="16"/>
      <c r="O7" s="16" t="s">
        <v>66</v>
      </c>
    </row>
    <row r="8" customFormat="false" ht="85.05" hidden="false" customHeight="false" outlineLevel="0" collapsed="false">
      <c r="A8" s="15" t="n">
        <v>331132863</v>
      </c>
      <c r="B8" s="16" t="s">
        <v>114</v>
      </c>
      <c r="C8" s="16" t="s">
        <v>81</v>
      </c>
      <c r="D8" s="16" t="n">
        <v>0.85</v>
      </c>
      <c r="E8" s="16" t="n">
        <v>13</v>
      </c>
      <c r="F8" s="16" t="s">
        <v>62</v>
      </c>
      <c r="G8" s="16" t="n">
        <v>3031.6</v>
      </c>
      <c r="H8" s="16" t="n">
        <v>350</v>
      </c>
      <c r="I8" s="16" t="n">
        <v>115451</v>
      </c>
      <c r="J8" s="16" t="s">
        <v>68</v>
      </c>
      <c r="K8" s="16" t="s">
        <v>69</v>
      </c>
      <c r="L8" s="16"/>
      <c r="M8" s="16" t="s">
        <v>91</v>
      </c>
      <c r="N8" s="16"/>
      <c r="O8" s="16" t="s">
        <v>115</v>
      </c>
    </row>
    <row r="9" customFormat="false" ht="64.15" hidden="false" customHeight="false" outlineLevel="0" collapsed="false">
      <c r="A9" s="15" t="n">
        <v>332029732</v>
      </c>
      <c r="B9" s="16" t="s">
        <v>116</v>
      </c>
      <c r="C9" s="16" t="s">
        <v>62</v>
      </c>
      <c r="D9" s="16" t="n">
        <v>0.97</v>
      </c>
      <c r="E9" s="16" t="n">
        <v>15</v>
      </c>
      <c r="F9" s="16" t="s">
        <v>90</v>
      </c>
      <c r="G9" s="16" t="n">
        <v>6000</v>
      </c>
      <c r="H9" s="16" t="n">
        <v>750</v>
      </c>
      <c r="I9" s="16" t="n">
        <v>125000</v>
      </c>
      <c r="J9" s="16" t="s">
        <v>63</v>
      </c>
      <c r="K9" s="16" t="s">
        <v>69</v>
      </c>
      <c r="L9" s="16"/>
      <c r="M9" s="16" t="s">
        <v>75</v>
      </c>
      <c r="N9" s="16"/>
      <c r="O9" s="16" t="s">
        <v>117</v>
      </c>
    </row>
    <row r="10" customFormat="false" ht="64.15" hidden="false" customHeight="false" outlineLevel="0" collapsed="false">
      <c r="A10" s="15" t="n">
        <v>334222990</v>
      </c>
      <c r="B10" s="16" t="s">
        <v>116</v>
      </c>
      <c r="C10" s="16" t="s">
        <v>62</v>
      </c>
      <c r="D10" s="16" t="n">
        <v>0.97</v>
      </c>
      <c r="E10" s="16" t="n">
        <v>15</v>
      </c>
      <c r="F10" s="16" t="s">
        <v>90</v>
      </c>
      <c r="G10" s="16" t="n">
        <v>5102.9</v>
      </c>
      <c r="H10" s="16" t="n">
        <v>750</v>
      </c>
      <c r="I10" s="16" t="n">
        <v>146975</v>
      </c>
      <c r="J10" s="16" t="s">
        <v>63</v>
      </c>
      <c r="K10" s="16" t="s">
        <v>64</v>
      </c>
      <c r="L10" s="16"/>
      <c r="M10" s="16" t="s">
        <v>118</v>
      </c>
      <c r="N10" s="16"/>
      <c r="O10" s="16" t="s">
        <v>119</v>
      </c>
    </row>
    <row r="11" customFormat="false" ht="85.05" hidden="false" customHeight="false" outlineLevel="0" collapsed="false">
      <c r="A11" s="15" t="n">
        <v>332617461</v>
      </c>
      <c r="B11" s="16" t="s">
        <v>120</v>
      </c>
      <c r="C11" s="16" t="s">
        <v>62</v>
      </c>
      <c r="D11" s="16" t="n">
        <v>1.05</v>
      </c>
      <c r="E11" s="16" t="n">
        <v>8</v>
      </c>
      <c r="F11" s="16" t="s">
        <v>74</v>
      </c>
      <c r="G11" s="16" t="n">
        <v>658</v>
      </c>
      <c r="H11" s="16" t="n">
        <v>145</v>
      </c>
      <c r="I11" s="16" t="n">
        <v>220365</v>
      </c>
      <c r="J11" s="16" t="s">
        <v>68</v>
      </c>
      <c r="K11" s="16" t="s">
        <v>64</v>
      </c>
      <c r="L11" s="16" t="n">
        <v>5</v>
      </c>
      <c r="M11" s="16"/>
      <c r="N11" s="16"/>
      <c r="O11" s="16" t="s">
        <v>121</v>
      </c>
    </row>
    <row r="12" customFormat="false" ht="85.05" hidden="false" customHeight="false" outlineLevel="0" collapsed="false">
      <c r="A12" s="15" t="n">
        <v>334521519</v>
      </c>
      <c r="B12" s="16" t="s">
        <v>106</v>
      </c>
      <c r="C12" s="16" t="s">
        <v>62</v>
      </c>
      <c r="D12" s="16" t="n">
        <v>1.12</v>
      </c>
      <c r="E12" s="16" t="n">
        <v>12</v>
      </c>
      <c r="F12" s="16" t="s">
        <v>90</v>
      </c>
      <c r="G12" s="16" t="n">
        <v>657.2</v>
      </c>
      <c r="H12" s="16" t="n">
        <v>160</v>
      </c>
      <c r="I12" s="16" t="n">
        <v>243457</v>
      </c>
      <c r="J12" s="16" t="s">
        <v>68</v>
      </c>
      <c r="K12" s="16" t="s">
        <v>64</v>
      </c>
      <c r="L12" s="16" t="n">
        <v>10.5</v>
      </c>
      <c r="M12" s="16"/>
      <c r="N12" s="16"/>
      <c r="O12" s="16" t="s">
        <v>107</v>
      </c>
    </row>
    <row r="13" customFormat="false" ht="85.05" hidden="false" customHeight="false" outlineLevel="0" collapsed="false">
      <c r="A13" s="15" t="n">
        <v>323203435</v>
      </c>
      <c r="B13" s="16" t="s">
        <v>122</v>
      </c>
      <c r="C13" s="16" t="s">
        <v>62</v>
      </c>
      <c r="D13" s="16" t="n">
        <v>1.14</v>
      </c>
      <c r="E13" s="16" t="n">
        <v>18</v>
      </c>
      <c r="F13" s="16" t="s">
        <v>90</v>
      </c>
      <c r="G13" s="16" t="n">
        <v>3311</v>
      </c>
      <c r="H13" s="16" t="n">
        <v>520</v>
      </c>
      <c r="I13" s="16" t="n">
        <v>157052</v>
      </c>
      <c r="J13" s="16" t="s">
        <v>63</v>
      </c>
      <c r="K13" s="16" t="s">
        <v>69</v>
      </c>
      <c r="L13" s="16" t="n">
        <v>8.8</v>
      </c>
      <c r="M13" s="16"/>
      <c r="N13" s="16"/>
      <c r="O13" s="16" t="s">
        <v>123</v>
      </c>
    </row>
    <row r="14" customFormat="false" ht="85.05" hidden="false" customHeight="false" outlineLevel="0" collapsed="false">
      <c r="A14" s="15" t="n">
        <v>317720310</v>
      </c>
      <c r="B14" s="16" t="s">
        <v>124</v>
      </c>
      <c r="C14" s="16" t="s">
        <v>62</v>
      </c>
      <c r="D14" s="16" t="n">
        <v>1.16</v>
      </c>
      <c r="E14" s="16" t="n">
        <v>19</v>
      </c>
      <c r="F14" s="16" t="s">
        <v>62</v>
      </c>
      <c r="G14" s="16" t="n">
        <v>483</v>
      </c>
      <c r="H14" s="16" t="n">
        <v>105</v>
      </c>
      <c r="I14" s="16" t="n">
        <v>217391</v>
      </c>
      <c r="J14" s="16" t="s">
        <v>63</v>
      </c>
      <c r="K14" s="16" t="s">
        <v>125</v>
      </c>
      <c r="L14" s="16"/>
      <c r="M14" s="16" t="s">
        <v>75</v>
      </c>
      <c r="N14" s="16"/>
      <c r="O14" s="16" t="s">
        <v>126</v>
      </c>
    </row>
    <row r="15" customFormat="false" ht="74.6" hidden="false" customHeight="false" outlineLevel="0" collapsed="false">
      <c r="A15" s="15" t="n">
        <v>317611480</v>
      </c>
      <c r="B15" s="16" t="s">
        <v>72</v>
      </c>
      <c r="C15" s="16" t="s">
        <v>73</v>
      </c>
      <c r="D15" s="16" t="n">
        <v>1.22</v>
      </c>
      <c r="E15" s="16" t="n">
        <v>8</v>
      </c>
      <c r="F15" s="16" t="s">
        <v>74</v>
      </c>
      <c r="G15" s="16" t="n">
        <v>1580.5</v>
      </c>
      <c r="H15" s="16" t="n">
        <v>360</v>
      </c>
      <c r="I15" s="16" t="n">
        <v>227776</v>
      </c>
      <c r="J15" s="16" t="s">
        <v>63</v>
      </c>
      <c r="K15" s="16" t="s">
        <v>69</v>
      </c>
      <c r="L15" s="16"/>
      <c r="M15" s="16" t="s">
        <v>75</v>
      </c>
      <c r="N15" s="16"/>
      <c r="O15" s="16" t="s">
        <v>76</v>
      </c>
    </row>
    <row r="16" customFormat="false" ht="85.05" hidden="false" customHeight="false" outlineLevel="0" collapsed="false">
      <c r="A16" s="15" t="n">
        <v>323692057</v>
      </c>
      <c r="B16" s="16" t="s">
        <v>100</v>
      </c>
      <c r="C16" s="16" t="s">
        <v>73</v>
      </c>
      <c r="D16" s="16" t="n">
        <v>1.29</v>
      </c>
      <c r="E16" s="16" t="n">
        <v>9</v>
      </c>
      <c r="F16" s="16" t="s">
        <v>74</v>
      </c>
      <c r="G16" s="16" t="n">
        <v>2035</v>
      </c>
      <c r="H16" s="16" t="n">
        <v>750</v>
      </c>
      <c r="I16" s="16" t="n">
        <v>368550</v>
      </c>
      <c r="J16" s="16" t="s">
        <v>68</v>
      </c>
      <c r="K16" s="16" t="s">
        <v>64</v>
      </c>
      <c r="L16" s="16"/>
      <c r="M16" s="16"/>
      <c r="N16" s="16"/>
      <c r="O16" s="16" t="s">
        <v>101</v>
      </c>
    </row>
    <row r="17" customFormat="false" ht="85.05" hidden="false" customHeight="false" outlineLevel="0" collapsed="false">
      <c r="A17" s="15" t="n">
        <v>331199745</v>
      </c>
      <c r="B17" s="16" t="s">
        <v>127</v>
      </c>
      <c r="C17" s="16" t="s">
        <v>81</v>
      </c>
      <c r="D17" s="16" t="n">
        <v>1.34</v>
      </c>
      <c r="E17" s="16" t="n">
        <v>2</v>
      </c>
      <c r="F17" s="16" t="s">
        <v>82</v>
      </c>
      <c r="G17" s="16" t="n">
        <v>626.6</v>
      </c>
      <c r="H17" s="16" t="n">
        <v>135</v>
      </c>
      <c r="I17" s="16" t="n">
        <v>215448</v>
      </c>
      <c r="J17" s="16" t="s">
        <v>63</v>
      </c>
      <c r="K17" s="16" t="s">
        <v>64</v>
      </c>
      <c r="L17" s="16" t="n">
        <v>16.3</v>
      </c>
      <c r="M17" s="16"/>
      <c r="N17" s="16"/>
      <c r="O17" s="16" t="s">
        <v>128</v>
      </c>
    </row>
    <row r="18" customFormat="false" ht="85.05" hidden="false" customHeight="false" outlineLevel="0" collapsed="false">
      <c r="A18" s="15" t="n">
        <v>334575746</v>
      </c>
      <c r="B18" s="16" t="s">
        <v>77</v>
      </c>
      <c r="C18" s="16" t="s">
        <v>73</v>
      </c>
      <c r="D18" s="16" t="n">
        <v>1.36</v>
      </c>
      <c r="E18" s="16" t="n">
        <v>13</v>
      </c>
      <c r="F18" s="16" t="s">
        <v>78</v>
      </c>
      <c r="G18" s="16" t="n">
        <v>963.1</v>
      </c>
      <c r="H18" s="16" t="n">
        <v>372</v>
      </c>
      <c r="I18" s="16" t="n">
        <v>386253</v>
      </c>
      <c r="J18" s="16" t="s">
        <v>63</v>
      </c>
      <c r="K18" s="16" t="s">
        <v>64</v>
      </c>
      <c r="L18" s="16"/>
      <c r="M18" s="16" t="s">
        <v>70</v>
      </c>
      <c r="N18" s="16"/>
      <c r="O18" s="16" t="s">
        <v>79</v>
      </c>
    </row>
    <row r="19" customFormat="false" ht="95.5" hidden="false" customHeight="false" outlineLevel="0" collapsed="false">
      <c r="A19" s="15" t="n">
        <v>331803513</v>
      </c>
      <c r="B19" s="16" t="s">
        <v>98</v>
      </c>
      <c r="C19" s="16" t="s">
        <v>81</v>
      </c>
      <c r="D19" s="16" t="n">
        <v>1.39</v>
      </c>
      <c r="E19" s="16" t="n">
        <v>4</v>
      </c>
      <c r="F19" s="16" t="s">
        <v>82</v>
      </c>
      <c r="G19" s="16" t="n">
        <v>477</v>
      </c>
      <c r="H19" s="16" t="n">
        <v>250</v>
      </c>
      <c r="I19" s="16" t="n">
        <v>524109</v>
      </c>
      <c r="J19" s="16" t="s">
        <v>68</v>
      </c>
      <c r="K19" s="16" t="s">
        <v>64</v>
      </c>
      <c r="L19" s="16"/>
      <c r="M19" s="16" t="s">
        <v>75</v>
      </c>
      <c r="N19" s="16"/>
      <c r="O19" s="16" t="s">
        <v>99</v>
      </c>
    </row>
    <row r="20" customFormat="false" ht="85.05" hidden="false" customHeight="false" outlineLevel="0" collapsed="false">
      <c r="A20" s="15" t="n">
        <v>330436079</v>
      </c>
      <c r="B20" s="16" t="s">
        <v>129</v>
      </c>
      <c r="C20" s="16" t="s">
        <v>73</v>
      </c>
      <c r="D20" s="16" t="n">
        <v>1.41</v>
      </c>
      <c r="E20" s="16" t="n">
        <v>14</v>
      </c>
      <c r="F20" s="16" t="s">
        <v>78</v>
      </c>
      <c r="G20" s="16" t="n">
        <v>691</v>
      </c>
      <c r="H20" s="16" t="n">
        <v>200</v>
      </c>
      <c r="I20" s="16" t="n">
        <v>289436</v>
      </c>
      <c r="J20" s="16" t="s">
        <v>68</v>
      </c>
      <c r="K20" s="16" t="s">
        <v>64</v>
      </c>
      <c r="L20" s="16"/>
      <c r="M20" s="16" t="s">
        <v>130</v>
      </c>
      <c r="N20" s="16"/>
      <c r="O20" s="16" t="s">
        <v>131</v>
      </c>
    </row>
    <row r="21" customFormat="false" ht="85.05" hidden="false" customHeight="false" outlineLevel="0" collapsed="false">
      <c r="A21" s="15" t="n">
        <v>333669809</v>
      </c>
      <c r="B21" s="16" t="s">
        <v>80</v>
      </c>
      <c r="C21" s="16" t="s">
        <v>81</v>
      </c>
      <c r="D21" s="16" t="n">
        <v>1.43</v>
      </c>
      <c r="E21" s="16" t="n">
        <v>9</v>
      </c>
      <c r="F21" s="16" t="s">
        <v>82</v>
      </c>
      <c r="G21" s="16" t="n">
        <v>1577</v>
      </c>
      <c r="H21" s="16" t="n">
        <v>630</v>
      </c>
      <c r="I21" s="16" t="n">
        <v>399493</v>
      </c>
      <c r="J21" s="16" t="s">
        <v>63</v>
      </c>
      <c r="K21" s="16" t="s">
        <v>69</v>
      </c>
      <c r="L21" s="16"/>
      <c r="M21" s="16" t="s">
        <v>75</v>
      </c>
      <c r="N21" s="16"/>
      <c r="O21" s="16" t="s">
        <v>83</v>
      </c>
    </row>
    <row r="22" customFormat="false" ht="85.05" hidden="false" customHeight="false" outlineLevel="0" collapsed="false">
      <c r="A22" s="15" t="n">
        <v>334638013</v>
      </c>
      <c r="B22" s="16" t="s">
        <v>84</v>
      </c>
      <c r="C22" s="16" t="s">
        <v>81</v>
      </c>
      <c r="D22" s="16" t="n">
        <v>1.49</v>
      </c>
      <c r="E22" s="16" t="n">
        <v>4</v>
      </c>
      <c r="F22" s="16" t="s">
        <v>82</v>
      </c>
      <c r="G22" s="16" t="n">
        <v>867</v>
      </c>
      <c r="H22" s="16" t="n">
        <v>250</v>
      </c>
      <c r="I22" s="16" t="n">
        <v>288351</v>
      </c>
      <c r="J22" s="16" t="s">
        <v>68</v>
      </c>
      <c r="K22" s="16" t="s">
        <v>69</v>
      </c>
      <c r="L22" s="16"/>
      <c r="M22" s="16" t="s">
        <v>70</v>
      </c>
      <c r="N22" s="16"/>
      <c r="O22" s="16" t="s">
        <v>85</v>
      </c>
    </row>
    <row r="23" customFormat="false" ht="85.05" hidden="false" customHeight="false" outlineLevel="0" collapsed="false">
      <c r="A23" s="15" t="n">
        <v>333432976</v>
      </c>
      <c r="B23" s="16" t="s">
        <v>86</v>
      </c>
      <c r="C23" s="16" t="s">
        <v>81</v>
      </c>
      <c r="D23" s="16" t="n">
        <v>1.5</v>
      </c>
      <c r="E23" s="16" t="n">
        <v>10</v>
      </c>
      <c r="F23" s="16" t="s">
        <v>82</v>
      </c>
      <c r="G23" s="16" t="n">
        <v>1086.7</v>
      </c>
      <c r="H23" s="16" t="n">
        <v>206.9</v>
      </c>
      <c r="I23" s="16" t="n">
        <v>190416</v>
      </c>
      <c r="J23" s="16" t="s">
        <v>68</v>
      </c>
      <c r="K23" s="16" t="s">
        <v>69</v>
      </c>
      <c r="L23" s="16"/>
      <c r="M23" s="16"/>
      <c r="N23" s="16"/>
      <c r="O23" s="16" t="s">
        <v>87</v>
      </c>
    </row>
    <row r="24" customFormat="false" ht="85.05" hidden="false" customHeight="false" outlineLevel="0" collapsed="false">
      <c r="A24" s="15" t="n">
        <v>321147541</v>
      </c>
      <c r="B24" s="16" t="s">
        <v>132</v>
      </c>
      <c r="C24" s="16" t="s">
        <v>73</v>
      </c>
      <c r="D24" s="16" t="n">
        <v>1.52</v>
      </c>
      <c r="E24" s="16" t="n">
        <v>6</v>
      </c>
      <c r="F24" s="16" t="s">
        <v>78</v>
      </c>
      <c r="G24" s="16" t="n">
        <v>1775</v>
      </c>
      <c r="H24" s="16" t="n">
        <v>330</v>
      </c>
      <c r="I24" s="16" t="n">
        <v>185915</v>
      </c>
      <c r="J24" s="16" t="s">
        <v>63</v>
      </c>
      <c r="K24" s="16" t="s">
        <v>64</v>
      </c>
      <c r="L24" s="16"/>
      <c r="M24" s="16"/>
      <c r="N24" s="16"/>
      <c r="O24" s="16" t="s">
        <v>133</v>
      </c>
    </row>
    <row r="25" customFormat="false" ht="85.05" hidden="false" customHeight="false" outlineLevel="0" collapsed="false">
      <c r="A25" s="15" t="n">
        <v>322849082</v>
      </c>
      <c r="B25" s="16" t="s">
        <v>88</v>
      </c>
      <c r="C25" s="16" t="s">
        <v>89</v>
      </c>
      <c r="D25" s="16" t="n">
        <v>1.58</v>
      </c>
      <c r="E25" s="16" t="n">
        <v>7</v>
      </c>
      <c r="F25" s="16" t="s">
        <v>90</v>
      </c>
      <c r="G25" s="16" t="n">
        <v>903</v>
      </c>
      <c r="H25" s="16" t="n">
        <v>350</v>
      </c>
      <c r="I25" s="16" t="n">
        <v>387597</v>
      </c>
      <c r="J25" s="16" t="s">
        <v>63</v>
      </c>
      <c r="K25" s="16" t="s">
        <v>69</v>
      </c>
      <c r="L25" s="16"/>
      <c r="M25" s="16" t="s">
        <v>91</v>
      </c>
      <c r="N25" s="16"/>
      <c r="O25" s="16" t="s">
        <v>92</v>
      </c>
    </row>
    <row r="26" customFormat="false" ht="85.05" hidden="false" customHeight="false" outlineLevel="0" collapsed="false">
      <c r="A26" s="15" t="n">
        <v>328649553</v>
      </c>
      <c r="B26" s="16" t="s">
        <v>93</v>
      </c>
      <c r="C26" s="16" t="s">
        <v>89</v>
      </c>
      <c r="D26" s="16" t="n">
        <v>1.59</v>
      </c>
      <c r="E26" s="16" t="n">
        <v>6</v>
      </c>
      <c r="F26" s="16" t="s">
        <v>90</v>
      </c>
      <c r="G26" s="16" t="n">
        <v>1500</v>
      </c>
      <c r="H26" s="16" t="n">
        <v>600</v>
      </c>
      <c r="I26" s="16" t="n">
        <v>400000</v>
      </c>
      <c r="J26" s="16" t="s">
        <v>68</v>
      </c>
      <c r="K26" s="16" t="s">
        <v>69</v>
      </c>
      <c r="L26" s="16"/>
      <c r="M26" s="16" t="s">
        <v>91</v>
      </c>
      <c r="N26" s="16"/>
      <c r="O26" s="16" t="s">
        <v>94</v>
      </c>
    </row>
    <row r="27" customFormat="false" ht="85.05" hidden="false" customHeight="false" outlineLevel="0" collapsed="false">
      <c r="A27" s="15" t="n">
        <v>331580718</v>
      </c>
      <c r="B27" s="16" t="s">
        <v>104</v>
      </c>
      <c r="C27" s="16" t="s">
        <v>96</v>
      </c>
      <c r="D27" s="16" t="n">
        <v>1.6</v>
      </c>
      <c r="E27" s="16" t="n">
        <v>2</v>
      </c>
      <c r="F27" s="16" t="s">
        <v>74</v>
      </c>
      <c r="G27" s="16" t="n">
        <v>3952.6</v>
      </c>
      <c r="H27" s="16" t="n">
        <v>1140</v>
      </c>
      <c r="I27" s="16" t="n">
        <v>288418</v>
      </c>
      <c r="J27" s="16" t="s">
        <v>63</v>
      </c>
      <c r="K27" s="16" t="s">
        <v>69</v>
      </c>
      <c r="L27" s="16" t="n">
        <v>10</v>
      </c>
      <c r="M27" s="16" t="s">
        <v>75</v>
      </c>
      <c r="N27" s="16"/>
      <c r="O27" s="16" t="s">
        <v>105</v>
      </c>
    </row>
    <row r="28" customFormat="false" ht="85.05" hidden="false" customHeight="false" outlineLevel="0" collapsed="false">
      <c r="A28" s="15" t="n">
        <v>332617470</v>
      </c>
      <c r="B28" s="16" t="s">
        <v>104</v>
      </c>
      <c r="C28" s="16" t="s">
        <v>96</v>
      </c>
      <c r="D28" s="16" t="n">
        <v>1.6</v>
      </c>
      <c r="E28" s="16" t="n">
        <v>2</v>
      </c>
      <c r="F28" s="16" t="s">
        <v>74</v>
      </c>
      <c r="G28" s="16" t="n">
        <v>3952</v>
      </c>
      <c r="H28" s="16" t="n">
        <v>1140</v>
      </c>
      <c r="I28" s="16" t="n">
        <v>288462</v>
      </c>
      <c r="J28" s="16" t="s">
        <v>63</v>
      </c>
      <c r="K28" s="16" t="s">
        <v>64</v>
      </c>
      <c r="L28" s="16"/>
      <c r="M28" s="16" t="s">
        <v>75</v>
      </c>
      <c r="N28" s="16"/>
      <c r="O28" s="16" t="s">
        <v>134</v>
      </c>
    </row>
    <row r="29" customFormat="false" ht="85.05" hidden="false" customHeight="false" outlineLevel="0" collapsed="false">
      <c r="A29" s="15" t="n">
        <v>332882108</v>
      </c>
      <c r="B29" s="16" t="s">
        <v>135</v>
      </c>
      <c r="C29" s="16" t="s">
        <v>62</v>
      </c>
      <c r="D29" s="16" t="n">
        <v>1.61</v>
      </c>
      <c r="E29" s="16" t="n">
        <v>18</v>
      </c>
      <c r="F29" s="16" t="s">
        <v>82</v>
      </c>
      <c r="G29" s="16" t="n">
        <v>450</v>
      </c>
      <c r="H29" s="16" t="n">
        <v>300</v>
      </c>
      <c r="I29" s="16" t="n">
        <v>666667</v>
      </c>
      <c r="J29" s="16" t="s">
        <v>68</v>
      </c>
      <c r="K29" s="16" t="s">
        <v>64</v>
      </c>
      <c r="L29" s="16"/>
      <c r="M29" s="16"/>
      <c r="N29" s="16"/>
      <c r="O29" s="16" t="s">
        <v>136</v>
      </c>
    </row>
    <row r="30" customFormat="false" ht="85.05" hidden="false" customHeight="false" outlineLevel="0" collapsed="false">
      <c r="A30" s="15" t="n">
        <v>334575896</v>
      </c>
      <c r="B30" s="16" t="s">
        <v>95</v>
      </c>
      <c r="C30" s="16" t="s">
        <v>96</v>
      </c>
      <c r="D30" s="16" t="n">
        <v>1.68</v>
      </c>
      <c r="E30" s="16" t="n">
        <v>6</v>
      </c>
      <c r="F30" s="16" t="s">
        <v>74</v>
      </c>
      <c r="G30" s="16" t="n">
        <v>1305</v>
      </c>
      <c r="H30" s="16" t="n">
        <v>400</v>
      </c>
      <c r="I30" s="16" t="n">
        <v>306513</v>
      </c>
      <c r="J30" s="16" t="s">
        <v>63</v>
      </c>
      <c r="K30" s="16" t="s">
        <v>64</v>
      </c>
      <c r="L30" s="16"/>
      <c r="M30" s="16" t="s">
        <v>70</v>
      </c>
      <c r="N30" s="16"/>
      <c r="O30" s="16" t="s">
        <v>97</v>
      </c>
    </row>
    <row r="31" customFormat="false" ht="85.05" hidden="false" customHeight="false" outlineLevel="0" collapsed="false">
      <c r="A31" s="15" t="n">
        <v>333719823</v>
      </c>
      <c r="B31" s="16" t="s">
        <v>137</v>
      </c>
      <c r="C31" s="16" t="s">
        <v>73</v>
      </c>
      <c r="D31" s="16" t="n">
        <v>1.69</v>
      </c>
      <c r="E31" s="16" t="n">
        <v>6</v>
      </c>
      <c r="F31" s="16" t="s">
        <v>78</v>
      </c>
      <c r="G31" s="16" t="n">
        <v>430.4</v>
      </c>
      <c r="H31" s="16" t="n">
        <v>280</v>
      </c>
      <c r="I31" s="16" t="n">
        <v>650558</v>
      </c>
      <c r="J31" s="16" t="s">
        <v>68</v>
      </c>
      <c r="K31" s="16" t="s">
        <v>69</v>
      </c>
      <c r="L31" s="16"/>
      <c r="M31" s="16" t="s">
        <v>91</v>
      </c>
      <c r="N31" s="16"/>
      <c r="O31" s="16" t="s">
        <v>138</v>
      </c>
    </row>
    <row r="32" customFormat="false" ht="95.5" hidden="false" customHeight="false" outlineLevel="0" collapsed="false">
      <c r="A32" s="15" t="n">
        <v>305586843</v>
      </c>
      <c r="B32" s="16" t="s">
        <v>139</v>
      </c>
      <c r="C32" s="16" t="s">
        <v>73</v>
      </c>
      <c r="D32" s="16" t="n">
        <v>1.75</v>
      </c>
      <c r="E32" s="16" t="n">
        <v>2</v>
      </c>
      <c r="F32" s="16" t="s">
        <v>78</v>
      </c>
      <c r="G32" s="16" t="n">
        <v>540</v>
      </c>
      <c r="H32" s="16" t="n">
        <v>250</v>
      </c>
      <c r="I32" s="16" t="n">
        <v>462963</v>
      </c>
      <c r="J32" s="16" t="s">
        <v>68</v>
      </c>
      <c r="K32" s="16" t="s">
        <v>69</v>
      </c>
      <c r="L32" s="16"/>
      <c r="M32" s="16" t="s">
        <v>70</v>
      </c>
      <c r="N32" s="16"/>
      <c r="O32" s="16" t="s">
        <v>140</v>
      </c>
    </row>
    <row r="33" customFormat="false" ht="53.7" hidden="false" customHeight="false" outlineLevel="0" collapsed="false">
      <c r="A33" s="15" t="n">
        <v>332212235</v>
      </c>
      <c r="B33" s="16" t="s">
        <v>141</v>
      </c>
      <c r="C33" s="16" t="s">
        <v>73</v>
      </c>
      <c r="D33" s="16" t="n">
        <v>1.78</v>
      </c>
      <c r="E33" s="16" t="n">
        <v>7</v>
      </c>
      <c r="F33" s="16" t="s">
        <v>78</v>
      </c>
      <c r="G33" s="16" t="n">
        <v>315</v>
      </c>
      <c r="H33" s="16" t="n">
        <v>90</v>
      </c>
      <c r="I33" s="16" t="n">
        <v>285714</v>
      </c>
      <c r="J33" s="16" t="s">
        <v>63</v>
      </c>
      <c r="K33" s="16" t="s">
        <v>125</v>
      </c>
      <c r="L33" s="16"/>
      <c r="M33" s="16" t="s">
        <v>70</v>
      </c>
      <c r="N33" s="16"/>
      <c r="O33" s="16" t="s">
        <v>142</v>
      </c>
    </row>
    <row r="34" customFormat="false" ht="74.6" hidden="false" customHeight="false" outlineLevel="0" collapsed="false">
      <c r="A34" s="15" t="n">
        <v>332277172</v>
      </c>
      <c r="B34" s="16" t="s">
        <v>141</v>
      </c>
      <c r="C34" s="16" t="s">
        <v>73</v>
      </c>
      <c r="D34" s="16" t="n">
        <v>1.78</v>
      </c>
      <c r="E34" s="16" t="n">
        <v>7</v>
      </c>
      <c r="F34" s="16" t="s">
        <v>78</v>
      </c>
      <c r="G34" s="16" t="n">
        <v>895</v>
      </c>
      <c r="H34" s="16" t="n">
        <v>214.8</v>
      </c>
      <c r="I34" s="16" t="n">
        <v>240000</v>
      </c>
      <c r="J34" s="16" t="s">
        <v>63</v>
      </c>
      <c r="K34" s="16" t="s">
        <v>125</v>
      </c>
      <c r="L34" s="16"/>
      <c r="M34" s="16" t="s">
        <v>70</v>
      </c>
      <c r="N34" s="16"/>
      <c r="O34" s="16" t="s">
        <v>143</v>
      </c>
    </row>
    <row r="35" customFormat="false" ht="85.05" hidden="false" customHeight="false" outlineLevel="0" collapsed="false">
      <c r="A35" s="15" t="n">
        <v>334932232</v>
      </c>
      <c r="B35" s="16" t="s">
        <v>144</v>
      </c>
      <c r="C35" s="16" t="s">
        <v>73</v>
      </c>
      <c r="D35" s="16" t="n">
        <v>1.79</v>
      </c>
      <c r="E35" s="16" t="n">
        <v>12</v>
      </c>
      <c r="F35" s="16" t="s">
        <v>74</v>
      </c>
      <c r="G35" s="16" t="n">
        <v>563</v>
      </c>
      <c r="H35" s="16" t="n">
        <v>70</v>
      </c>
      <c r="I35" s="16" t="n">
        <v>124334</v>
      </c>
      <c r="J35" s="16" t="s">
        <v>63</v>
      </c>
      <c r="K35" s="16" t="s">
        <v>64</v>
      </c>
      <c r="L35" s="16"/>
      <c r="M35" s="16" t="s">
        <v>75</v>
      </c>
      <c r="N35" s="16"/>
      <c r="O35" s="16" t="s">
        <v>145</v>
      </c>
    </row>
    <row r="36" customFormat="false" ht="22.35" hidden="false" customHeight="false" outlineLevel="0" collapsed="false">
      <c r="A36" s="15" t="n">
        <v>334652204</v>
      </c>
      <c r="B36" s="16" t="s">
        <v>146</v>
      </c>
      <c r="C36" s="16" t="s">
        <v>89</v>
      </c>
      <c r="D36" s="16" t="n">
        <v>1.8</v>
      </c>
      <c r="E36" s="16" t="n">
        <v>8</v>
      </c>
      <c r="F36" s="16" t="s">
        <v>74</v>
      </c>
      <c r="G36" s="16" t="n">
        <v>418</v>
      </c>
      <c r="H36" s="16" t="n">
        <v>100</v>
      </c>
      <c r="I36" s="16" t="n">
        <v>239234</v>
      </c>
      <c r="J36" s="16" t="s">
        <v>68</v>
      </c>
      <c r="K36" s="16" t="s">
        <v>64</v>
      </c>
      <c r="L36" s="16"/>
      <c r="M36" s="16" t="s">
        <v>75</v>
      </c>
      <c r="N36" s="16"/>
      <c r="O36" s="16" t="s">
        <v>147</v>
      </c>
    </row>
    <row r="37" customFormat="false" ht="64.15" hidden="false" customHeight="false" outlineLevel="0" collapsed="false">
      <c r="A37" s="15" t="n">
        <v>334575744</v>
      </c>
      <c r="B37" s="16" t="s">
        <v>148</v>
      </c>
      <c r="C37" s="16" t="s">
        <v>96</v>
      </c>
      <c r="D37" s="16" t="n">
        <v>1.82</v>
      </c>
      <c r="E37" s="16" t="n">
        <v>4</v>
      </c>
      <c r="F37" s="16" t="s">
        <v>74</v>
      </c>
      <c r="G37" s="16" t="n">
        <v>709</v>
      </c>
      <c r="H37" s="16" t="n">
        <v>180</v>
      </c>
      <c r="I37" s="16" t="n">
        <v>253879</v>
      </c>
      <c r="J37" s="16" t="s">
        <v>63</v>
      </c>
      <c r="K37" s="16" t="s">
        <v>64</v>
      </c>
      <c r="L37" s="16"/>
      <c r="M37" s="16" t="s">
        <v>70</v>
      </c>
      <c r="N37" s="16"/>
      <c r="O37" s="16" t="s">
        <v>149</v>
      </c>
    </row>
    <row r="38" customFormat="false" ht="85.05" hidden="false" customHeight="false" outlineLevel="0" collapsed="false">
      <c r="A38" s="15" t="n">
        <v>282543763</v>
      </c>
      <c r="B38" s="16" t="s">
        <v>150</v>
      </c>
      <c r="C38" s="16" t="s">
        <v>73</v>
      </c>
      <c r="D38" s="16" t="n">
        <v>1.96</v>
      </c>
      <c r="E38" s="16" t="n">
        <v>7</v>
      </c>
      <c r="F38" s="16" t="s">
        <v>78</v>
      </c>
      <c r="G38" s="16" t="n">
        <v>1445.4</v>
      </c>
      <c r="H38" s="16" t="n">
        <v>129</v>
      </c>
      <c r="I38" s="16" t="n">
        <v>89249</v>
      </c>
      <c r="J38" s="16" t="s">
        <v>68</v>
      </c>
      <c r="K38" s="16" t="s">
        <v>69</v>
      </c>
      <c r="L38" s="16"/>
      <c r="M38" s="16" t="s">
        <v>75</v>
      </c>
      <c r="N38" s="16"/>
      <c r="O38" s="16" t="s">
        <v>151</v>
      </c>
    </row>
    <row r="39" customFormat="false" ht="85.05" hidden="false" customHeight="false" outlineLevel="0" collapsed="false">
      <c r="A39" s="15" t="n">
        <v>332512369</v>
      </c>
      <c r="B39" s="16" t="s">
        <v>152</v>
      </c>
      <c r="C39" s="16" t="s">
        <v>81</v>
      </c>
      <c r="D39" s="16" t="n">
        <v>1.96</v>
      </c>
      <c r="E39" s="16" t="n">
        <v>3</v>
      </c>
      <c r="F39" s="16" t="s">
        <v>153</v>
      </c>
      <c r="G39" s="16" t="n">
        <v>1259.3</v>
      </c>
      <c r="H39" s="16" t="n">
        <v>289.6</v>
      </c>
      <c r="I39" s="16" t="n">
        <v>229936</v>
      </c>
      <c r="J39" s="16" t="s">
        <v>63</v>
      </c>
      <c r="K39" s="16" t="s">
        <v>125</v>
      </c>
      <c r="L39" s="16"/>
      <c r="M39" s="16" t="s">
        <v>118</v>
      </c>
      <c r="N39" s="16"/>
      <c r="O39" s="16" t="s">
        <v>154</v>
      </c>
    </row>
    <row r="40" customFormat="false" ht="74.6" hidden="false" customHeight="false" outlineLevel="0" collapsed="false">
      <c r="A40" s="15" t="n">
        <v>286410372</v>
      </c>
      <c r="B40" s="16" t="s">
        <v>155</v>
      </c>
      <c r="C40" s="16" t="s">
        <v>73</v>
      </c>
      <c r="D40" s="16" t="n">
        <v>1.99</v>
      </c>
      <c r="E40" s="16" t="n">
        <v>5</v>
      </c>
      <c r="F40" s="16" t="s">
        <v>78</v>
      </c>
      <c r="G40" s="16" t="n">
        <v>3313</v>
      </c>
      <c r="H40" s="16" t="n">
        <v>250</v>
      </c>
      <c r="I40" s="16" t="n">
        <v>75460</v>
      </c>
      <c r="J40" s="16" t="s">
        <v>68</v>
      </c>
      <c r="K40" s="16" t="s">
        <v>69</v>
      </c>
      <c r="L40" s="16"/>
      <c r="M40" s="16" t="s">
        <v>70</v>
      </c>
      <c r="N40" s="16"/>
      <c r="O40" s="16" t="s">
        <v>156</v>
      </c>
    </row>
    <row r="41" customFormat="false" ht="85.05" hidden="false" customHeight="false" outlineLevel="0" collapsed="false">
      <c r="A41" s="15" t="n">
        <v>331277126</v>
      </c>
      <c r="B41" s="16" t="s">
        <v>157</v>
      </c>
      <c r="C41" s="16" t="s">
        <v>73</v>
      </c>
      <c r="D41" s="16" t="n">
        <v>2.09</v>
      </c>
      <c r="E41" s="16" t="n">
        <v>5</v>
      </c>
      <c r="F41" s="16" t="s">
        <v>78</v>
      </c>
      <c r="G41" s="16" t="n">
        <v>801</v>
      </c>
      <c r="H41" s="16" t="n">
        <v>300</v>
      </c>
      <c r="I41" s="16" t="n">
        <v>374532</v>
      </c>
      <c r="J41" s="16" t="s">
        <v>68</v>
      </c>
      <c r="K41" s="16" t="s">
        <v>125</v>
      </c>
      <c r="L41" s="16"/>
      <c r="M41" s="16" t="s">
        <v>75</v>
      </c>
      <c r="N41" s="16"/>
      <c r="O41" s="16" t="s">
        <v>158</v>
      </c>
    </row>
    <row r="42" customFormat="false" ht="85.05" hidden="false" customHeight="false" outlineLevel="0" collapsed="false">
      <c r="A42" s="15" t="n">
        <v>323025236</v>
      </c>
      <c r="B42" s="16" t="s">
        <v>159</v>
      </c>
      <c r="C42" s="16" t="s">
        <v>73</v>
      </c>
      <c r="D42" s="16" t="n">
        <v>2.2</v>
      </c>
      <c r="E42" s="16" t="n">
        <v>7</v>
      </c>
      <c r="F42" s="16" t="s">
        <v>78</v>
      </c>
      <c r="G42" s="16" t="n">
        <v>513.3</v>
      </c>
      <c r="H42" s="16" t="n">
        <v>250</v>
      </c>
      <c r="I42" s="16" t="n">
        <v>487045</v>
      </c>
      <c r="J42" s="16" t="s">
        <v>63</v>
      </c>
      <c r="K42" s="16" t="s">
        <v>69</v>
      </c>
      <c r="L42" s="16" t="n">
        <v>10</v>
      </c>
      <c r="M42" s="16" t="s">
        <v>70</v>
      </c>
      <c r="N42" s="16"/>
      <c r="O42" s="16" t="s">
        <v>160</v>
      </c>
    </row>
    <row r="43" customFormat="false" ht="85.05" hidden="false" customHeight="false" outlineLevel="0" collapsed="false">
      <c r="A43" s="15" t="n">
        <v>329908517</v>
      </c>
      <c r="B43" s="16" t="s">
        <v>161</v>
      </c>
      <c r="C43" s="16" t="s">
        <v>89</v>
      </c>
      <c r="D43" s="16" t="n">
        <v>2.22</v>
      </c>
      <c r="E43" s="16" t="n">
        <v>4</v>
      </c>
      <c r="F43" s="16" t="s">
        <v>90</v>
      </c>
      <c r="G43" s="16" t="n">
        <v>1126</v>
      </c>
      <c r="H43" s="16" t="n">
        <v>185</v>
      </c>
      <c r="I43" s="16" t="n">
        <v>164298</v>
      </c>
      <c r="J43" s="16" t="s">
        <v>68</v>
      </c>
      <c r="K43" s="16" t="s">
        <v>69</v>
      </c>
      <c r="L43" s="16"/>
      <c r="M43" s="16" t="s">
        <v>75</v>
      </c>
      <c r="N43" s="16"/>
      <c r="O43" s="16" t="s">
        <v>162</v>
      </c>
    </row>
    <row r="44" customFormat="false" ht="85.05" hidden="false" customHeight="false" outlineLevel="0" collapsed="false">
      <c r="A44" s="15" t="n">
        <v>325950231</v>
      </c>
      <c r="B44" s="16" t="s">
        <v>163</v>
      </c>
      <c r="C44" s="16" t="s">
        <v>73</v>
      </c>
      <c r="D44" s="16" t="n">
        <v>2.23</v>
      </c>
      <c r="E44" s="16" t="n">
        <v>3</v>
      </c>
      <c r="F44" s="16" t="s">
        <v>78</v>
      </c>
      <c r="G44" s="16" t="n">
        <v>703.4</v>
      </c>
      <c r="H44" s="16" t="n">
        <v>204</v>
      </c>
      <c r="I44" s="16" t="n">
        <v>290020</v>
      </c>
      <c r="J44" s="16" t="s">
        <v>68</v>
      </c>
      <c r="K44" s="16" t="s">
        <v>64</v>
      </c>
      <c r="L44" s="16"/>
      <c r="M44" s="16" t="s">
        <v>91</v>
      </c>
      <c r="N44" s="16"/>
      <c r="O44" s="16" t="s">
        <v>164</v>
      </c>
    </row>
    <row r="45" customFormat="false" ht="85.05" hidden="false" customHeight="false" outlineLevel="0" collapsed="false">
      <c r="A45" s="15" t="n">
        <v>331538478</v>
      </c>
      <c r="B45" s="16" t="s">
        <v>165</v>
      </c>
      <c r="C45" s="16" t="s">
        <v>96</v>
      </c>
      <c r="D45" s="16" t="n">
        <v>2.26</v>
      </c>
      <c r="E45" s="16" t="n">
        <v>2</v>
      </c>
      <c r="F45" s="16" t="s">
        <v>166</v>
      </c>
      <c r="G45" s="16" t="n">
        <v>1350</v>
      </c>
      <c r="H45" s="16" t="n">
        <v>590</v>
      </c>
      <c r="I45" s="16" t="n">
        <v>437037</v>
      </c>
      <c r="J45" s="16" t="s">
        <v>68</v>
      </c>
      <c r="K45" s="16" t="s">
        <v>64</v>
      </c>
      <c r="L45" s="16"/>
      <c r="M45" s="16" t="s">
        <v>75</v>
      </c>
      <c r="N45" s="16"/>
      <c r="O45" s="16" t="s">
        <v>167</v>
      </c>
    </row>
    <row r="46" customFormat="false" ht="85.05" hidden="false" customHeight="false" outlineLevel="0" collapsed="false">
      <c r="A46" s="15" t="n">
        <v>332617259</v>
      </c>
      <c r="B46" s="16" t="s">
        <v>168</v>
      </c>
      <c r="C46" s="16" t="s">
        <v>89</v>
      </c>
      <c r="D46" s="16" t="n">
        <v>2.34</v>
      </c>
      <c r="E46" s="16" t="n">
        <v>4</v>
      </c>
      <c r="F46" s="16" t="s">
        <v>90</v>
      </c>
      <c r="G46" s="16" t="n">
        <v>280</v>
      </c>
      <c r="H46" s="16" t="n">
        <v>69.3</v>
      </c>
      <c r="I46" s="16" t="n">
        <v>247500</v>
      </c>
      <c r="J46" s="16" t="s">
        <v>68</v>
      </c>
      <c r="K46" s="16" t="s">
        <v>64</v>
      </c>
      <c r="L46" s="16" t="n">
        <v>11.3</v>
      </c>
      <c r="M46" s="16"/>
      <c r="N46" s="16"/>
      <c r="O46" s="16" t="s">
        <v>169</v>
      </c>
    </row>
    <row r="47" customFormat="false" ht="85.05" hidden="false" customHeight="false" outlineLevel="0" collapsed="false">
      <c r="A47" s="15" t="n">
        <v>312768003</v>
      </c>
      <c r="B47" s="16" t="s">
        <v>170</v>
      </c>
      <c r="C47" s="16" t="s">
        <v>73</v>
      </c>
      <c r="D47" s="16" t="n">
        <v>2.41</v>
      </c>
      <c r="E47" s="16" t="n">
        <v>10</v>
      </c>
      <c r="F47" s="16" t="s">
        <v>78</v>
      </c>
      <c r="G47" s="16" t="n">
        <v>1375</v>
      </c>
      <c r="H47" s="16" t="n">
        <v>320</v>
      </c>
      <c r="I47" s="16" t="n">
        <v>232727</v>
      </c>
      <c r="J47" s="16" t="s">
        <v>63</v>
      </c>
      <c r="K47" s="16" t="s">
        <v>64</v>
      </c>
      <c r="L47" s="16"/>
      <c r="M47" s="16" t="s">
        <v>70</v>
      </c>
      <c r="N47" s="16"/>
      <c r="O47" s="16" t="s">
        <v>171</v>
      </c>
    </row>
    <row r="48" customFormat="false" ht="85.05" hidden="false" customHeight="false" outlineLevel="0" collapsed="false">
      <c r="A48" s="15" t="n">
        <v>310474501</v>
      </c>
      <c r="B48" s="16" t="s">
        <v>172</v>
      </c>
      <c r="C48" s="16" t="s">
        <v>62</v>
      </c>
      <c r="D48" s="16" t="n">
        <v>2.42</v>
      </c>
      <c r="E48" s="16"/>
      <c r="F48" s="16" t="s">
        <v>62</v>
      </c>
      <c r="G48" s="16" t="n">
        <v>2130</v>
      </c>
      <c r="H48" s="16" t="n">
        <v>320</v>
      </c>
      <c r="I48" s="16" t="n">
        <v>150235</v>
      </c>
      <c r="J48" s="16" t="s">
        <v>63</v>
      </c>
      <c r="K48" s="16" t="s">
        <v>69</v>
      </c>
      <c r="L48" s="16"/>
      <c r="M48" s="16" t="s">
        <v>70</v>
      </c>
      <c r="N48" s="16"/>
      <c r="O48" s="16" t="s">
        <v>173</v>
      </c>
    </row>
    <row r="49" customFormat="false" ht="74.6" hidden="false" customHeight="false" outlineLevel="0" collapsed="false">
      <c r="A49" s="15" t="n">
        <v>335031268</v>
      </c>
      <c r="B49" s="16" t="s">
        <v>174</v>
      </c>
      <c r="C49" s="16" t="s">
        <v>73</v>
      </c>
      <c r="D49" s="16" t="n">
        <v>2.43</v>
      </c>
      <c r="E49" s="16" t="n">
        <v>9</v>
      </c>
      <c r="F49" s="16" t="s">
        <v>78</v>
      </c>
      <c r="G49" s="16" t="n">
        <v>830</v>
      </c>
      <c r="H49" s="16" t="n">
        <v>140</v>
      </c>
      <c r="I49" s="16" t="n">
        <v>168675</v>
      </c>
      <c r="J49" s="16" t="s">
        <v>68</v>
      </c>
      <c r="K49" s="16" t="s">
        <v>64</v>
      </c>
      <c r="L49" s="16"/>
      <c r="M49" s="16" t="s">
        <v>70</v>
      </c>
      <c r="N49" s="16"/>
      <c r="O49" s="16" t="s">
        <v>175</v>
      </c>
    </row>
    <row r="50" customFormat="false" ht="85.05" hidden="false" customHeight="false" outlineLevel="0" collapsed="false">
      <c r="A50" s="15" t="n">
        <v>334966715</v>
      </c>
      <c r="B50" s="16" t="s">
        <v>174</v>
      </c>
      <c r="C50" s="16" t="s">
        <v>73</v>
      </c>
      <c r="D50" s="16" t="n">
        <v>2.43</v>
      </c>
      <c r="E50" s="16" t="n">
        <v>9</v>
      </c>
      <c r="F50" s="16" t="s">
        <v>78</v>
      </c>
      <c r="G50" s="16" t="n">
        <v>950</v>
      </c>
      <c r="H50" s="16" t="n">
        <v>175</v>
      </c>
      <c r="I50" s="16" t="n">
        <v>184211</v>
      </c>
      <c r="J50" s="16" t="s">
        <v>68</v>
      </c>
      <c r="K50" s="16" t="s">
        <v>64</v>
      </c>
      <c r="L50" s="16"/>
      <c r="M50" s="16" t="s">
        <v>75</v>
      </c>
      <c r="N50" s="16"/>
      <c r="O50" s="16" t="s">
        <v>176</v>
      </c>
    </row>
    <row r="51" customFormat="false" ht="85.05" hidden="false" customHeight="false" outlineLevel="0" collapsed="false">
      <c r="A51" s="15" t="n">
        <v>331530367</v>
      </c>
      <c r="B51" s="16" t="s">
        <v>174</v>
      </c>
      <c r="C51" s="16" t="s">
        <v>73</v>
      </c>
      <c r="D51" s="16" t="n">
        <v>2.43</v>
      </c>
      <c r="E51" s="16" t="n">
        <v>9</v>
      </c>
      <c r="F51" s="16" t="s">
        <v>78</v>
      </c>
      <c r="G51" s="16" t="n">
        <v>1365</v>
      </c>
      <c r="H51" s="16" t="n">
        <v>325</v>
      </c>
      <c r="I51" s="16" t="n">
        <v>238095</v>
      </c>
      <c r="J51" s="16" t="s">
        <v>68</v>
      </c>
      <c r="K51" s="16" t="s">
        <v>64</v>
      </c>
      <c r="L51" s="16"/>
      <c r="M51" s="16" t="s">
        <v>75</v>
      </c>
      <c r="N51" s="16"/>
      <c r="O51" s="16" t="s">
        <v>177</v>
      </c>
    </row>
    <row r="52" customFormat="false" ht="85.05" hidden="false" customHeight="false" outlineLevel="0" collapsed="false">
      <c r="A52" s="15" t="n">
        <v>327893414</v>
      </c>
      <c r="B52" s="16" t="s">
        <v>178</v>
      </c>
      <c r="C52" s="16" t="s">
        <v>96</v>
      </c>
      <c r="D52" s="16" t="n">
        <v>2.44</v>
      </c>
      <c r="E52" s="16" t="n">
        <v>2</v>
      </c>
      <c r="F52" s="16" t="s">
        <v>166</v>
      </c>
      <c r="G52" s="16" t="n">
        <v>2586</v>
      </c>
      <c r="H52" s="16" t="n">
        <v>470</v>
      </c>
      <c r="I52" s="16" t="n">
        <v>181748</v>
      </c>
      <c r="J52" s="16" t="s">
        <v>63</v>
      </c>
      <c r="K52" s="16" t="s">
        <v>69</v>
      </c>
      <c r="L52" s="16" t="n">
        <v>11.1</v>
      </c>
      <c r="M52" s="16" t="s">
        <v>75</v>
      </c>
      <c r="N52" s="16"/>
      <c r="O52" s="16" t="s">
        <v>179</v>
      </c>
    </row>
    <row r="53" customFormat="false" ht="85.05" hidden="false" customHeight="false" outlineLevel="0" collapsed="false">
      <c r="A53" s="15" t="n">
        <v>332836090</v>
      </c>
      <c r="B53" s="16" t="s">
        <v>180</v>
      </c>
      <c r="C53" s="16" t="s">
        <v>96</v>
      </c>
      <c r="D53" s="16" t="n">
        <v>2.46</v>
      </c>
      <c r="E53" s="16" t="n">
        <v>5</v>
      </c>
      <c r="F53" s="16" t="s">
        <v>166</v>
      </c>
      <c r="G53" s="16" t="n">
        <v>4094.4</v>
      </c>
      <c r="H53" s="16" t="n">
        <v>490</v>
      </c>
      <c r="I53" s="16" t="n">
        <v>119676</v>
      </c>
      <c r="J53" s="16" t="s">
        <v>63</v>
      </c>
      <c r="K53" s="16" t="s">
        <v>69</v>
      </c>
      <c r="L53" s="16"/>
      <c r="M53" s="16" t="s">
        <v>75</v>
      </c>
      <c r="N53" s="16"/>
      <c r="O53" s="16" t="s">
        <v>181</v>
      </c>
    </row>
    <row r="54" customFormat="false" ht="85.05" hidden="false" customHeight="false" outlineLevel="0" collapsed="false">
      <c r="A54" s="15" t="n">
        <v>333606806</v>
      </c>
      <c r="B54" s="16" t="s">
        <v>180</v>
      </c>
      <c r="C54" s="16" t="s">
        <v>96</v>
      </c>
      <c r="D54" s="16" t="n">
        <v>2.46</v>
      </c>
      <c r="E54" s="16" t="n">
        <v>5</v>
      </c>
      <c r="F54" s="16" t="s">
        <v>166</v>
      </c>
      <c r="G54" s="16" t="n">
        <v>4095</v>
      </c>
      <c r="H54" s="16" t="n">
        <v>490</v>
      </c>
      <c r="I54" s="16" t="n">
        <v>119658</v>
      </c>
      <c r="J54" s="16" t="s">
        <v>63</v>
      </c>
      <c r="K54" s="16" t="s">
        <v>64</v>
      </c>
      <c r="L54" s="16"/>
      <c r="M54" s="16" t="s">
        <v>130</v>
      </c>
      <c r="N54" s="16"/>
      <c r="O54" s="16" t="s">
        <v>182</v>
      </c>
    </row>
    <row r="55" customFormat="false" ht="85.05" hidden="false" customHeight="false" outlineLevel="0" collapsed="false">
      <c r="A55" s="15" t="n">
        <v>330462119</v>
      </c>
      <c r="B55" s="16" t="s">
        <v>183</v>
      </c>
      <c r="C55" s="16" t="s">
        <v>73</v>
      </c>
      <c r="D55" s="16" t="n">
        <v>2.49</v>
      </c>
      <c r="E55" s="16" t="n">
        <v>11</v>
      </c>
      <c r="F55" s="16" t="s">
        <v>78</v>
      </c>
      <c r="G55" s="16" t="n">
        <v>311</v>
      </c>
      <c r="H55" s="16" t="n">
        <v>130</v>
      </c>
      <c r="I55" s="16" t="n">
        <v>418006</v>
      </c>
      <c r="J55" s="16" t="s">
        <v>68</v>
      </c>
      <c r="K55" s="16" t="s">
        <v>64</v>
      </c>
      <c r="L55" s="16"/>
      <c r="M55" s="16" t="s">
        <v>130</v>
      </c>
      <c r="N55" s="16"/>
      <c r="O55" s="16" t="s">
        <v>184</v>
      </c>
    </row>
    <row r="56" customFormat="false" ht="85.05" hidden="false" customHeight="false" outlineLevel="0" collapsed="false">
      <c r="A56" s="15" t="n">
        <v>324142511</v>
      </c>
      <c r="B56" s="16" t="s">
        <v>185</v>
      </c>
      <c r="C56" s="16" t="s">
        <v>73</v>
      </c>
      <c r="D56" s="16" t="n">
        <v>2.49</v>
      </c>
      <c r="E56" s="16" t="n">
        <v>10</v>
      </c>
      <c r="F56" s="16" t="s">
        <v>78</v>
      </c>
      <c r="G56" s="16" t="n">
        <v>600.7</v>
      </c>
      <c r="H56" s="16" t="n">
        <v>220</v>
      </c>
      <c r="I56" s="16" t="n">
        <v>366239</v>
      </c>
      <c r="J56" s="16" t="s">
        <v>63</v>
      </c>
      <c r="K56" s="16" t="s">
        <v>125</v>
      </c>
      <c r="L56" s="16"/>
      <c r="M56" s="16" t="s">
        <v>70</v>
      </c>
      <c r="N56" s="16"/>
      <c r="O56" s="16" t="s">
        <v>186</v>
      </c>
    </row>
    <row r="57" customFormat="false" ht="85.05" hidden="false" customHeight="false" outlineLevel="0" collapsed="false">
      <c r="A57" s="15" t="n">
        <v>328933051</v>
      </c>
      <c r="B57" s="16" t="s">
        <v>187</v>
      </c>
      <c r="C57" s="16" t="s">
        <v>73</v>
      </c>
      <c r="D57" s="16" t="n">
        <v>2.49</v>
      </c>
      <c r="E57" s="16" t="n">
        <v>10</v>
      </c>
      <c r="F57" s="16" t="s">
        <v>78</v>
      </c>
      <c r="G57" s="16" t="n">
        <v>601</v>
      </c>
      <c r="H57" s="16" t="n">
        <v>220</v>
      </c>
      <c r="I57" s="16" t="n">
        <v>366057</v>
      </c>
      <c r="J57" s="16" t="s">
        <v>63</v>
      </c>
      <c r="K57" s="16" t="s">
        <v>64</v>
      </c>
      <c r="L57" s="16"/>
      <c r="M57" s="16"/>
      <c r="N57" s="16"/>
      <c r="O57" s="16" t="s">
        <v>188</v>
      </c>
    </row>
    <row r="58" customFormat="false" ht="85.05" hidden="false" customHeight="false" outlineLevel="0" collapsed="false">
      <c r="A58" s="15" t="n">
        <v>331530365</v>
      </c>
      <c r="B58" s="16" t="s">
        <v>189</v>
      </c>
      <c r="C58" s="16" t="s">
        <v>73</v>
      </c>
      <c r="D58" s="16" t="n">
        <v>2.49</v>
      </c>
      <c r="E58" s="16" t="n">
        <v>11</v>
      </c>
      <c r="F58" s="16" t="s">
        <v>78</v>
      </c>
      <c r="G58" s="16" t="n">
        <v>3951</v>
      </c>
      <c r="H58" s="16" t="n">
        <v>1800</v>
      </c>
      <c r="I58" s="16" t="n">
        <v>455581</v>
      </c>
      <c r="J58" s="16" t="s">
        <v>63</v>
      </c>
      <c r="K58" s="16" t="s">
        <v>64</v>
      </c>
      <c r="L58" s="16"/>
      <c r="M58" s="16" t="s">
        <v>70</v>
      </c>
      <c r="N58" s="16"/>
      <c r="O58" s="16" t="s">
        <v>190</v>
      </c>
    </row>
    <row r="59" customFormat="false" ht="85.05" hidden="false" customHeight="false" outlineLevel="0" collapsed="false">
      <c r="A59" s="15" t="n">
        <v>330437489</v>
      </c>
      <c r="B59" s="16" t="s">
        <v>189</v>
      </c>
      <c r="C59" s="16" t="s">
        <v>73</v>
      </c>
      <c r="D59" s="16" t="n">
        <v>2.49</v>
      </c>
      <c r="E59" s="16" t="n">
        <v>11</v>
      </c>
      <c r="F59" s="16" t="s">
        <v>78</v>
      </c>
      <c r="G59" s="16" t="n">
        <v>4000</v>
      </c>
      <c r="H59" s="16" t="n">
        <v>1800</v>
      </c>
      <c r="I59" s="16" t="n">
        <v>450000</v>
      </c>
      <c r="J59" s="16" t="s">
        <v>63</v>
      </c>
      <c r="K59" s="16" t="s">
        <v>64</v>
      </c>
      <c r="L59" s="16"/>
      <c r="M59" s="16" t="s">
        <v>130</v>
      </c>
      <c r="N59" s="16"/>
      <c r="O59" s="16" t="s">
        <v>191</v>
      </c>
    </row>
    <row r="60" customFormat="false" ht="85.05" hidden="false" customHeight="false" outlineLevel="0" collapsed="false">
      <c r="A60" s="15" t="n">
        <v>334575796</v>
      </c>
      <c r="B60" s="16" t="s">
        <v>189</v>
      </c>
      <c r="C60" s="16" t="s">
        <v>73</v>
      </c>
      <c r="D60" s="16" t="n">
        <v>2.49</v>
      </c>
      <c r="E60" s="16" t="n">
        <v>11</v>
      </c>
      <c r="F60" s="16" t="s">
        <v>78</v>
      </c>
      <c r="G60" s="16" t="n">
        <v>3950.5</v>
      </c>
      <c r="H60" s="16" t="n">
        <v>1800</v>
      </c>
      <c r="I60" s="16" t="n">
        <v>455639</v>
      </c>
      <c r="J60" s="16" t="s">
        <v>63</v>
      </c>
      <c r="K60" s="16" t="s">
        <v>64</v>
      </c>
      <c r="L60" s="16"/>
      <c r="M60" s="16" t="s">
        <v>75</v>
      </c>
      <c r="N60" s="16"/>
      <c r="O60" s="16" t="s">
        <v>192</v>
      </c>
    </row>
    <row r="61" customFormat="false" ht="85.05" hidden="false" customHeight="false" outlineLevel="0" collapsed="false">
      <c r="A61" s="15" t="n">
        <v>297844082</v>
      </c>
      <c r="B61" s="16" t="s">
        <v>193</v>
      </c>
      <c r="C61" s="16" t="s">
        <v>73</v>
      </c>
      <c r="D61" s="16" t="n">
        <v>2.51</v>
      </c>
      <c r="E61" s="16" t="n">
        <v>10</v>
      </c>
      <c r="F61" s="16" t="s">
        <v>78</v>
      </c>
      <c r="G61" s="16" t="n">
        <v>1157</v>
      </c>
      <c r="H61" s="16" t="n">
        <v>540</v>
      </c>
      <c r="I61" s="16" t="n">
        <v>466724</v>
      </c>
      <c r="J61" s="16" t="s">
        <v>63</v>
      </c>
      <c r="K61" s="16" t="s">
        <v>64</v>
      </c>
      <c r="L61" s="16"/>
      <c r="M61" s="16" t="s">
        <v>75</v>
      </c>
      <c r="N61" s="16"/>
      <c r="O61" s="16" t="s">
        <v>194</v>
      </c>
    </row>
    <row r="62" customFormat="false" ht="43.25" hidden="false" customHeight="false" outlineLevel="0" collapsed="false">
      <c r="A62" s="15" t="n">
        <v>331771856</v>
      </c>
      <c r="B62" s="16" t="s">
        <v>195</v>
      </c>
      <c r="C62" s="16" t="s">
        <v>73</v>
      </c>
      <c r="D62" s="16" t="n">
        <v>2.52</v>
      </c>
      <c r="E62" s="16" t="n">
        <v>12</v>
      </c>
      <c r="F62" s="16" t="s">
        <v>153</v>
      </c>
      <c r="G62" s="16" t="n">
        <v>784</v>
      </c>
      <c r="H62" s="16" t="n">
        <v>350</v>
      </c>
      <c r="I62" s="16" t="n">
        <v>446429</v>
      </c>
      <c r="J62" s="16" t="s">
        <v>68</v>
      </c>
      <c r="K62" s="16" t="s">
        <v>69</v>
      </c>
      <c r="L62" s="16"/>
      <c r="M62" s="16" t="s">
        <v>75</v>
      </c>
      <c r="N62" s="16"/>
      <c r="O62" s="16" t="s">
        <v>196</v>
      </c>
    </row>
    <row r="63" customFormat="false" ht="85.05" hidden="false" customHeight="false" outlineLevel="0" collapsed="false">
      <c r="A63" s="15" t="n">
        <v>330437460</v>
      </c>
      <c r="B63" s="16" t="s">
        <v>197</v>
      </c>
      <c r="C63" s="16" t="s">
        <v>81</v>
      </c>
      <c r="D63" s="16" t="n">
        <v>2.53</v>
      </c>
      <c r="E63" s="16" t="n">
        <v>9</v>
      </c>
      <c r="F63" s="16" t="s">
        <v>153</v>
      </c>
      <c r="G63" s="16" t="n">
        <v>7855</v>
      </c>
      <c r="H63" s="16" t="n">
        <v>1970.5</v>
      </c>
      <c r="I63" s="16" t="n">
        <v>250853</v>
      </c>
      <c r="J63" s="16" t="s">
        <v>63</v>
      </c>
      <c r="K63" s="16" t="s">
        <v>64</v>
      </c>
      <c r="L63" s="16"/>
      <c r="M63" s="16" t="s">
        <v>130</v>
      </c>
      <c r="N63" s="16"/>
      <c r="O63" s="16" t="s">
        <v>198</v>
      </c>
    </row>
    <row r="64" customFormat="false" ht="85.05" hidden="false" customHeight="false" outlineLevel="0" collapsed="false">
      <c r="A64" s="15" t="n">
        <v>331277076</v>
      </c>
      <c r="B64" s="16" t="s">
        <v>197</v>
      </c>
      <c r="C64" s="16" t="s">
        <v>81</v>
      </c>
      <c r="D64" s="16" t="n">
        <v>2.53</v>
      </c>
      <c r="E64" s="16" t="n">
        <v>9</v>
      </c>
      <c r="F64" s="16" t="s">
        <v>153</v>
      </c>
      <c r="G64" s="16" t="n">
        <v>7857.8</v>
      </c>
      <c r="H64" s="16" t="n">
        <v>1971.2</v>
      </c>
      <c r="I64" s="16" t="n">
        <v>250853</v>
      </c>
      <c r="J64" s="16" t="s">
        <v>63</v>
      </c>
      <c r="K64" s="16" t="s">
        <v>125</v>
      </c>
      <c r="L64" s="16"/>
      <c r="M64" s="16" t="s">
        <v>75</v>
      </c>
      <c r="N64" s="16"/>
      <c r="O64" s="16" t="s">
        <v>199</v>
      </c>
    </row>
    <row r="65" customFormat="false" ht="85.05" hidden="false" customHeight="false" outlineLevel="0" collapsed="false">
      <c r="A65" s="15" t="n">
        <v>331277080</v>
      </c>
      <c r="B65" s="16" t="s">
        <v>200</v>
      </c>
      <c r="C65" s="16" t="s">
        <v>81</v>
      </c>
      <c r="D65" s="16" t="n">
        <v>2.55</v>
      </c>
      <c r="E65" s="16" t="n">
        <v>2</v>
      </c>
      <c r="F65" s="16" t="s">
        <v>201</v>
      </c>
      <c r="G65" s="16" t="n">
        <v>304.9</v>
      </c>
      <c r="H65" s="16" t="n">
        <v>180</v>
      </c>
      <c r="I65" s="16" t="n">
        <v>590357</v>
      </c>
      <c r="J65" s="16" t="s">
        <v>68</v>
      </c>
      <c r="K65" s="16" t="s">
        <v>64</v>
      </c>
      <c r="L65" s="16" t="n">
        <v>8</v>
      </c>
      <c r="M65" s="16" t="s">
        <v>70</v>
      </c>
      <c r="N65" s="16"/>
      <c r="O65" s="16" t="s">
        <v>202</v>
      </c>
    </row>
    <row r="66" customFormat="false" ht="85.05" hidden="false" customHeight="false" outlineLevel="0" collapsed="false">
      <c r="A66" s="15" t="n">
        <v>333710477</v>
      </c>
      <c r="B66" s="16" t="s">
        <v>203</v>
      </c>
      <c r="C66" s="16" t="s">
        <v>73</v>
      </c>
      <c r="D66" s="16" t="n">
        <v>2.59</v>
      </c>
      <c r="E66" s="16" t="n">
        <v>10</v>
      </c>
      <c r="F66" s="16" t="s">
        <v>78</v>
      </c>
      <c r="G66" s="16" t="n">
        <v>772</v>
      </c>
      <c r="H66" s="16" t="n">
        <v>308</v>
      </c>
      <c r="I66" s="16" t="n">
        <v>398964</v>
      </c>
      <c r="J66" s="16" t="s">
        <v>63</v>
      </c>
      <c r="K66" s="16" t="s">
        <v>69</v>
      </c>
      <c r="L66" s="16"/>
      <c r="M66" s="16" t="s">
        <v>91</v>
      </c>
      <c r="N66" s="16"/>
      <c r="O66" s="16" t="s">
        <v>204</v>
      </c>
    </row>
    <row r="67" customFormat="false" ht="85.05" hidden="false" customHeight="false" outlineLevel="0" collapsed="false">
      <c r="A67" s="15" t="n">
        <v>332204807</v>
      </c>
      <c r="B67" s="16" t="s">
        <v>205</v>
      </c>
      <c r="C67" s="16" t="s">
        <v>206</v>
      </c>
      <c r="D67" s="16" t="n">
        <v>2.62</v>
      </c>
      <c r="E67" s="16" t="n">
        <v>9</v>
      </c>
      <c r="F67" s="16" t="s">
        <v>206</v>
      </c>
      <c r="G67" s="16" t="n">
        <v>1677</v>
      </c>
      <c r="H67" s="16" t="n">
        <v>430</v>
      </c>
      <c r="I67" s="16" t="n">
        <v>256410</v>
      </c>
      <c r="J67" s="16" t="s">
        <v>63</v>
      </c>
      <c r="K67" s="16" t="s">
        <v>64</v>
      </c>
      <c r="L67" s="16"/>
      <c r="M67" s="16"/>
      <c r="N67" s="16"/>
      <c r="O67" s="16" t="s">
        <v>207</v>
      </c>
    </row>
    <row r="68" customFormat="false" ht="85.05" hidden="false" customHeight="false" outlineLevel="0" collapsed="false">
      <c r="A68" s="15" t="n">
        <v>331277042</v>
      </c>
      <c r="B68" s="16" t="s">
        <v>208</v>
      </c>
      <c r="C68" s="16" t="s">
        <v>73</v>
      </c>
      <c r="D68" s="16" t="n">
        <v>2.62</v>
      </c>
      <c r="E68" s="16" t="n">
        <v>10</v>
      </c>
      <c r="F68" s="16" t="s">
        <v>78</v>
      </c>
      <c r="G68" s="16" t="n">
        <v>6205.5</v>
      </c>
      <c r="H68" s="16" t="n">
        <v>3102.8</v>
      </c>
      <c r="I68" s="16" t="n">
        <v>500000</v>
      </c>
      <c r="J68" s="16" t="s">
        <v>68</v>
      </c>
      <c r="K68" s="16" t="s">
        <v>69</v>
      </c>
      <c r="L68" s="16" t="n">
        <v>8</v>
      </c>
      <c r="M68" s="16" t="s">
        <v>70</v>
      </c>
      <c r="N68" s="16"/>
      <c r="O68" s="16" t="s">
        <v>209</v>
      </c>
    </row>
    <row r="69" customFormat="false" ht="85.05" hidden="false" customHeight="false" outlineLevel="0" collapsed="false">
      <c r="A69" s="15" t="n">
        <v>334455619</v>
      </c>
      <c r="B69" s="16" t="s">
        <v>208</v>
      </c>
      <c r="C69" s="16" t="s">
        <v>73</v>
      </c>
      <c r="D69" s="16" t="n">
        <v>2.62</v>
      </c>
      <c r="E69" s="16" t="n">
        <v>10</v>
      </c>
      <c r="F69" s="16" t="s">
        <v>78</v>
      </c>
      <c r="G69" s="16" t="n">
        <v>6205</v>
      </c>
      <c r="H69" s="16" t="n">
        <v>3135</v>
      </c>
      <c r="I69" s="16" t="n">
        <v>505238</v>
      </c>
      <c r="J69" s="16" t="s">
        <v>68</v>
      </c>
      <c r="K69" s="16" t="s">
        <v>69</v>
      </c>
      <c r="L69" s="16"/>
      <c r="M69" s="16" t="s">
        <v>70</v>
      </c>
      <c r="N69" s="16"/>
      <c r="O69" s="16" t="s">
        <v>210</v>
      </c>
    </row>
    <row r="70" customFormat="false" ht="85.05" hidden="false" customHeight="false" outlineLevel="0" collapsed="false">
      <c r="A70" s="15" t="n">
        <v>332695369</v>
      </c>
      <c r="B70" s="16" t="s">
        <v>208</v>
      </c>
      <c r="C70" s="16" t="s">
        <v>73</v>
      </c>
      <c r="D70" s="16" t="n">
        <v>2.62</v>
      </c>
      <c r="E70" s="16" t="n">
        <v>10</v>
      </c>
      <c r="F70" s="16" t="s">
        <v>78</v>
      </c>
      <c r="G70" s="16" t="n">
        <v>6270</v>
      </c>
      <c r="H70" s="16" t="n">
        <v>3135</v>
      </c>
      <c r="I70" s="16" t="n">
        <v>500000</v>
      </c>
      <c r="J70" s="16" t="s">
        <v>63</v>
      </c>
      <c r="K70" s="16" t="s">
        <v>64</v>
      </c>
      <c r="L70" s="16"/>
      <c r="M70" s="16"/>
      <c r="N70" s="16"/>
      <c r="O70" s="16" t="s">
        <v>211</v>
      </c>
    </row>
    <row r="71" customFormat="false" ht="85.05" hidden="false" customHeight="false" outlineLevel="0" collapsed="false">
      <c r="A71" s="15" t="n">
        <v>324926534</v>
      </c>
      <c r="B71" s="16" t="s">
        <v>212</v>
      </c>
      <c r="C71" s="16" t="s">
        <v>73</v>
      </c>
      <c r="D71" s="16" t="n">
        <v>2.69</v>
      </c>
      <c r="E71" s="16" t="n">
        <v>11</v>
      </c>
      <c r="F71" s="16" t="s">
        <v>213</v>
      </c>
      <c r="G71" s="16" t="n">
        <v>1082</v>
      </c>
      <c r="H71" s="16" t="n">
        <v>270</v>
      </c>
      <c r="I71" s="16" t="n">
        <v>249538</v>
      </c>
      <c r="J71" s="16" t="s">
        <v>68</v>
      </c>
      <c r="K71" s="16" t="s">
        <v>64</v>
      </c>
      <c r="L71" s="16"/>
      <c r="M71" s="16" t="s">
        <v>70</v>
      </c>
      <c r="N71" s="16"/>
      <c r="O71" s="16" t="s">
        <v>214</v>
      </c>
    </row>
    <row r="72" customFormat="false" ht="32.8" hidden="false" customHeight="false" outlineLevel="0" collapsed="false">
      <c r="A72" s="15" t="n">
        <v>310224472</v>
      </c>
      <c r="B72" s="16" t="s">
        <v>215</v>
      </c>
      <c r="C72" s="16" t="s">
        <v>81</v>
      </c>
      <c r="D72" s="16" t="n">
        <v>2.69</v>
      </c>
      <c r="E72" s="16" t="n">
        <v>5</v>
      </c>
      <c r="F72" s="16" t="s">
        <v>153</v>
      </c>
      <c r="G72" s="16" t="n">
        <v>5065</v>
      </c>
      <c r="H72" s="16" t="n">
        <v>1705</v>
      </c>
      <c r="I72" s="16" t="n">
        <v>336624</v>
      </c>
      <c r="J72" s="16" t="s">
        <v>63</v>
      </c>
      <c r="K72" s="16" t="s">
        <v>64</v>
      </c>
      <c r="L72" s="16"/>
      <c r="M72" s="16" t="s">
        <v>70</v>
      </c>
      <c r="N72" s="16"/>
      <c r="O72" s="16" t="s">
        <v>216</v>
      </c>
    </row>
    <row r="73" customFormat="false" ht="95.5" hidden="false" customHeight="false" outlineLevel="0" collapsed="false">
      <c r="A73" s="15" t="n">
        <v>331198267</v>
      </c>
      <c r="B73" s="16" t="s">
        <v>217</v>
      </c>
      <c r="C73" s="16" t="s">
        <v>81</v>
      </c>
      <c r="D73" s="16" t="n">
        <v>2.7</v>
      </c>
      <c r="E73" s="16" t="n">
        <v>3</v>
      </c>
      <c r="F73" s="16" t="s">
        <v>218</v>
      </c>
      <c r="G73" s="16" t="n">
        <v>5256.8</v>
      </c>
      <c r="H73" s="16" t="n">
        <v>1200</v>
      </c>
      <c r="I73" s="16" t="n">
        <v>228276</v>
      </c>
      <c r="J73" s="16" t="s">
        <v>63</v>
      </c>
      <c r="K73" s="16" t="s">
        <v>125</v>
      </c>
      <c r="L73" s="16"/>
      <c r="M73" s="16" t="s">
        <v>118</v>
      </c>
      <c r="N73" s="16"/>
      <c r="O73" s="16" t="s">
        <v>219</v>
      </c>
    </row>
    <row r="74" customFormat="false" ht="64.15" hidden="false" customHeight="false" outlineLevel="0" collapsed="false">
      <c r="A74" s="15" t="n">
        <v>334861047</v>
      </c>
      <c r="B74" s="16" t="s">
        <v>220</v>
      </c>
      <c r="C74" s="16" t="s">
        <v>73</v>
      </c>
      <c r="D74" s="16" t="n">
        <v>2.71</v>
      </c>
      <c r="E74" s="16" t="n">
        <v>12</v>
      </c>
      <c r="F74" s="16" t="s">
        <v>153</v>
      </c>
      <c r="G74" s="16" t="n">
        <v>610</v>
      </c>
      <c r="H74" s="16" t="n">
        <v>250</v>
      </c>
      <c r="I74" s="16" t="n">
        <v>409836</v>
      </c>
      <c r="J74" s="16" t="s">
        <v>68</v>
      </c>
      <c r="K74" s="16" t="s">
        <v>64</v>
      </c>
      <c r="L74" s="16"/>
      <c r="M74" s="16" t="s">
        <v>70</v>
      </c>
      <c r="N74" s="16"/>
      <c r="O74" s="16" t="s">
        <v>221</v>
      </c>
    </row>
    <row r="75" customFormat="false" ht="85.05" hidden="false" customHeight="false" outlineLevel="0" collapsed="false">
      <c r="A75" s="15" t="n">
        <v>329899324</v>
      </c>
      <c r="B75" s="16" t="s">
        <v>222</v>
      </c>
      <c r="C75" s="16" t="s">
        <v>73</v>
      </c>
      <c r="D75" s="16" t="n">
        <v>2.75</v>
      </c>
      <c r="E75" s="16" t="n">
        <v>8</v>
      </c>
      <c r="F75" s="16" t="s">
        <v>218</v>
      </c>
      <c r="G75" s="16" t="n">
        <v>1190</v>
      </c>
      <c r="H75" s="16" t="n">
        <v>476</v>
      </c>
      <c r="I75" s="16" t="n">
        <v>400000</v>
      </c>
      <c r="J75" s="16" t="s">
        <v>63</v>
      </c>
      <c r="K75" s="16" t="s">
        <v>64</v>
      </c>
      <c r="L75" s="16"/>
      <c r="M75" s="16" t="s">
        <v>75</v>
      </c>
      <c r="N75" s="16"/>
      <c r="O75" s="16" t="s">
        <v>223</v>
      </c>
    </row>
    <row r="76" customFormat="false" ht="85.05" hidden="false" customHeight="false" outlineLevel="0" collapsed="false">
      <c r="A76" s="15" t="n">
        <v>330467330</v>
      </c>
      <c r="B76" s="16" t="s">
        <v>224</v>
      </c>
      <c r="C76" s="16" t="s">
        <v>225</v>
      </c>
      <c r="D76" s="16" t="n">
        <v>2.76</v>
      </c>
      <c r="E76" s="16" t="n">
        <v>16</v>
      </c>
      <c r="F76" s="16" t="s">
        <v>226</v>
      </c>
      <c r="G76" s="16" t="n">
        <v>6475</v>
      </c>
      <c r="H76" s="16" t="n">
        <v>630</v>
      </c>
      <c r="I76" s="16" t="n">
        <v>97297</v>
      </c>
      <c r="J76" s="16" t="s">
        <v>68</v>
      </c>
      <c r="K76" s="16" t="s">
        <v>64</v>
      </c>
      <c r="L76" s="16"/>
      <c r="M76" s="16" t="s">
        <v>75</v>
      </c>
      <c r="N76" s="16"/>
      <c r="O76" s="16" t="s">
        <v>227</v>
      </c>
    </row>
    <row r="77" customFormat="false" ht="85.05" hidden="false" customHeight="false" outlineLevel="0" collapsed="false">
      <c r="A77" s="15" t="n">
        <v>306168925</v>
      </c>
      <c r="B77" s="16" t="s">
        <v>228</v>
      </c>
      <c r="C77" s="16" t="s">
        <v>73</v>
      </c>
      <c r="D77" s="16" t="n">
        <v>2.86</v>
      </c>
      <c r="E77" s="16" t="n">
        <v>8</v>
      </c>
      <c r="F77" s="16" t="s">
        <v>218</v>
      </c>
      <c r="G77" s="16" t="n">
        <v>1533.2</v>
      </c>
      <c r="H77" s="16" t="n">
        <v>350</v>
      </c>
      <c r="I77" s="16" t="n">
        <v>228281</v>
      </c>
      <c r="J77" s="16" t="s">
        <v>68</v>
      </c>
      <c r="K77" s="16" t="s">
        <v>69</v>
      </c>
      <c r="L77" s="16"/>
      <c r="M77" s="16" t="s">
        <v>70</v>
      </c>
      <c r="N77" s="16"/>
      <c r="O77" s="16" t="s">
        <v>229</v>
      </c>
    </row>
    <row r="78" customFormat="false" ht="85.05" hidden="false" customHeight="false" outlineLevel="0" collapsed="false">
      <c r="A78" s="15" t="n">
        <v>332696406</v>
      </c>
      <c r="B78" s="16" t="s">
        <v>228</v>
      </c>
      <c r="C78" s="16" t="s">
        <v>73</v>
      </c>
      <c r="D78" s="16" t="n">
        <v>2.86</v>
      </c>
      <c r="E78" s="16" t="n">
        <v>8</v>
      </c>
      <c r="F78" s="16" t="s">
        <v>218</v>
      </c>
      <c r="G78" s="16" t="n">
        <v>1550.2</v>
      </c>
      <c r="H78" s="16" t="n">
        <v>370</v>
      </c>
      <c r="I78" s="16" t="n">
        <v>238679</v>
      </c>
      <c r="J78" s="16" t="s">
        <v>68</v>
      </c>
      <c r="K78" s="16" t="s">
        <v>64</v>
      </c>
      <c r="L78" s="16"/>
      <c r="M78" s="16"/>
      <c r="N78" s="16"/>
      <c r="O78" s="16" t="s">
        <v>230</v>
      </c>
    </row>
    <row r="79" customFormat="false" ht="85.05" hidden="false" customHeight="false" outlineLevel="0" collapsed="false">
      <c r="A79" s="15" t="n">
        <v>331132858</v>
      </c>
      <c r="B79" s="16" t="s">
        <v>228</v>
      </c>
      <c r="C79" s="16" t="s">
        <v>73</v>
      </c>
      <c r="D79" s="16" t="n">
        <v>2.86</v>
      </c>
      <c r="E79" s="16" t="n">
        <v>8</v>
      </c>
      <c r="F79" s="16" t="s">
        <v>218</v>
      </c>
      <c r="G79" s="16" t="n">
        <v>1534</v>
      </c>
      <c r="H79" s="16" t="n">
        <v>370</v>
      </c>
      <c r="I79" s="16" t="n">
        <v>241199</v>
      </c>
      <c r="J79" s="16" t="s">
        <v>68</v>
      </c>
      <c r="K79" s="16" t="s">
        <v>125</v>
      </c>
      <c r="L79" s="16"/>
      <c r="M79" s="16" t="s">
        <v>75</v>
      </c>
      <c r="N79" s="16"/>
      <c r="O79" s="16" t="s">
        <v>231</v>
      </c>
    </row>
    <row r="80" customFormat="false" ht="85.05" hidden="false" customHeight="false" outlineLevel="0" collapsed="false">
      <c r="A80" s="15" t="n">
        <v>305375746</v>
      </c>
      <c r="B80" s="16" t="s">
        <v>228</v>
      </c>
      <c r="C80" s="16" t="s">
        <v>73</v>
      </c>
      <c r="D80" s="16" t="n">
        <v>2.86</v>
      </c>
      <c r="E80" s="16" t="n">
        <v>8</v>
      </c>
      <c r="F80" s="16" t="s">
        <v>218</v>
      </c>
      <c r="G80" s="16" t="n">
        <v>1600</v>
      </c>
      <c r="H80" s="16" t="n">
        <v>370</v>
      </c>
      <c r="I80" s="16" t="n">
        <v>231250</v>
      </c>
      <c r="J80" s="16" t="s">
        <v>68</v>
      </c>
      <c r="K80" s="16" t="s">
        <v>64</v>
      </c>
      <c r="L80" s="16"/>
      <c r="M80" s="16" t="s">
        <v>130</v>
      </c>
      <c r="N80" s="16"/>
      <c r="O80" s="16" t="s">
        <v>232</v>
      </c>
    </row>
    <row r="81" customFormat="false" ht="74.6" hidden="false" customHeight="false" outlineLevel="0" collapsed="false">
      <c r="A81" s="15" t="n">
        <v>328311500</v>
      </c>
      <c r="B81" s="16" t="s">
        <v>233</v>
      </c>
      <c r="C81" s="16" t="s">
        <v>73</v>
      </c>
      <c r="D81" s="16" t="n">
        <v>2.9</v>
      </c>
      <c r="E81" s="16" t="n">
        <v>10</v>
      </c>
      <c r="F81" s="16" t="s">
        <v>213</v>
      </c>
      <c r="G81" s="16" t="n">
        <v>325.4</v>
      </c>
      <c r="H81" s="16" t="n">
        <v>110</v>
      </c>
      <c r="I81" s="16" t="n">
        <v>338045</v>
      </c>
      <c r="J81" s="16" t="s">
        <v>68</v>
      </c>
      <c r="K81" s="16" t="s">
        <v>69</v>
      </c>
      <c r="L81" s="16"/>
      <c r="M81" s="16" t="s">
        <v>65</v>
      </c>
      <c r="N81" s="16"/>
      <c r="O81" s="16" t="s">
        <v>234</v>
      </c>
    </row>
    <row r="82" customFormat="false" ht="85.05" hidden="false" customHeight="false" outlineLevel="0" collapsed="false">
      <c r="A82" s="15" t="n">
        <v>331198245</v>
      </c>
      <c r="B82" s="16" t="s">
        <v>235</v>
      </c>
      <c r="C82" s="16" t="s">
        <v>96</v>
      </c>
      <c r="D82" s="16" t="n">
        <v>2.92</v>
      </c>
      <c r="E82" s="16" t="n">
        <v>14</v>
      </c>
      <c r="F82" s="16" t="s">
        <v>166</v>
      </c>
      <c r="G82" s="16" t="n">
        <v>6676.8</v>
      </c>
      <c r="H82" s="16" t="n">
        <v>690</v>
      </c>
      <c r="I82" s="16" t="n">
        <v>103343</v>
      </c>
      <c r="J82" s="16" t="s">
        <v>68</v>
      </c>
      <c r="K82" s="16" t="s">
        <v>69</v>
      </c>
      <c r="L82" s="16"/>
      <c r="M82" s="16" t="s">
        <v>75</v>
      </c>
      <c r="N82" s="16"/>
      <c r="O82" s="16" t="s">
        <v>236</v>
      </c>
    </row>
    <row r="83" customFormat="false" ht="85.05" hidden="false" customHeight="false" outlineLevel="0" collapsed="false">
      <c r="A83" s="15" t="n">
        <v>330437443</v>
      </c>
      <c r="B83" s="16" t="s">
        <v>235</v>
      </c>
      <c r="C83" s="16" t="s">
        <v>96</v>
      </c>
      <c r="D83" s="16" t="n">
        <v>2.92</v>
      </c>
      <c r="E83" s="16" t="n">
        <v>14</v>
      </c>
      <c r="F83" s="16" t="s">
        <v>166</v>
      </c>
      <c r="G83" s="16" t="n">
        <v>6600</v>
      </c>
      <c r="H83" s="16" t="n">
        <v>690</v>
      </c>
      <c r="I83" s="16" t="n">
        <v>104545</v>
      </c>
      <c r="J83" s="16" t="s">
        <v>68</v>
      </c>
      <c r="K83" s="16" t="s">
        <v>64</v>
      </c>
      <c r="L83" s="16"/>
      <c r="M83" s="16" t="s">
        <v>130</v>
      </c>
      <c r="N83" s="16"/>
      <c r="O83" s="16" t="s">
        <v>237</v>
      </c>
    </row>
    <row r="84" customFormat="false" ht="85.05" hidden="false" customHeight="false" outlineLevel="0" collapsed="false">
      <c r="A84" s="15" t="n">
        <v>332700174</v>
      </c>
      <c r="B84" s="16" t="s">
        <v>238</v>
      </c>
      <c r="C84" s="16" t="s">
        <v>73</v>
      </c>
      <c r="D84" s="16" t="n">
        <v>2.93</v>
      </c>
      <c r="E84" s="16" t="n">
        <v>9</v>
      </c>
      <c r="F84" s="16" t="s">
        <v>213</v>
      </c>
      <c r="G84" s="16" t="n">
        <v>624.7</v>
      </c>
      <c r="H84" s="16" t="n">
        <v>220</v>
      </c>
      <c r="I84" s="16" t="n">
        <v>352169</v>
      </c>
      <c r="J84" s="16" t="s">
        <v>68</v>
      </c>
      <c r="K84" s="16" t="s">
        <v>69</v>
      </c>
      <c r="L84" s="16"/>
      <c r="M84" s="16" t="s">
        <v>75</v>
      </c>
      <c r="N84" s="16"/>
      <c r="O84" s="16" t="s">
        <v>239</v>
      </c>
    </row>
    <row r="85" customFormat="false" ht="85.05" hidden="false" customHeight="false" outlineLevel="0" collapsed="false">
      <c r="A85" s="15" t="n">
        <v>331277051</v>
      </c>
      <c r="B85" s="16" t="s">
        <v>240</v>
      </c>
      <c r="C85" s="16" t="s">
        <v>225</v>
      </c>
      <c r="D85" s="16" t="n">
        <v>2.96</v>
      </c>
      <c r="E85" s="16" t="n">
        <v>13</v>
      </c>
      <c r="F85" s="16" t="s">
        <v>241</v>
      </c>
      <c r="G85" s="16" t="n">
        <v>2606.8</v>
      </c>
      <c r="H85" s="16" t="n">
        <v>495</v>
      </c>
      <c r="I85" s="16" t="n">
        <v>189888</v>
      </c>
      <c r="J85" s="16" t="s">
        <v>68</v>
      </c>
      <c r="K85" s="16" t="s">
        <v>69</v>
      </c>
      <c r="L85" s="16"/>
      <c r="M85" s="16" t="s">
        <v>75</v>
      </c>
      <c r="N85" s="16"/>
      <c r="O85" s="16" t="s">
        <v>242</v>
      </c>
    </row>
    <row r="86" customFormat="false" ht="95.5" hidden="false" customHeight="false" outlineLevel="0" collapsed="false">
      <c r="A86" s="15" t="n">
        <v>334544873</v>
      </c>
      <c r="B86" s="16" t="s">
        <v>240</v>
      </c>
      <c r="C86" s="16" t="s">
        <v>225</v>
      </c>
      <c r="D86" s="16" t="n">
        <v>2.96</v>
      </c>
      <c r="E86" s="16" t="n">
        <v>13</v>
      </c>
      <c r="F86" s="16" t="s">
        <v>241</v>
      </c>
      <c r="G86" s="16" t="n">
        <v>2606</v>
      </c>
      <c r="H86" s="16" t="n">
        <v>550</v>
      </c>
      <c r="I86" s="16" t="n">
        <v>211051</v>
      </c>
      <c r="J86" s="16" t="s">
        <v>63</v>
      </c>
      <c r="K86" s="16" t="s">
        <v>64</v>
      </c>
      <c r="L86" s="16"/>
      <c r="M86" s="16"/>
      <c r="N86" s="16"/>
      <c r="O86" s="16" t="s">
        <v>243</v>
      </c>
    </row>
    <row r="87" customFormat="false" ht="43.25" hidden="false" customHeight="false" outlineLevel="0" collapsed="false">
      <c r="A87" s="15" t="n">
        <v>326683373</v>
      </c>
      <c r="B87" s="16" t="s">
        <v>244</v>
      </c>
      <c r="C87" s="16" t="s">
        <v>245</v>
      </c>
      <c r="D87" s="16" t="n">
        <v>2.97</v>
      </c>
      <c r="E87" s="16" t="n">
        <v>4</v>
      </c>
      <c r="F87" s="16" t="s">
        <v>226</v>
      </c>
      <c r="G87" s="16" t="n">
        <v>380</v>
      </c>
      <c r="H87" s="16" t="n">
        <v>130</v>
      </c>
      <c r="I87" s="16" t="n">
        <v>342105</v>
      </c>
      <c r="J87" s="16" t="s">
        <v>68</v>
      </c>
      <c r="K87" s="16" t="s">
        <v>64</v>
      </c>
      <c r="L87" s="16"/>
      <c r="M87" s="16" t="s">
        <v>70</v>
      </c>
      <c r="N87" s="16"/>
      <c r="O87" s="16" t="s">
        <v>246</v>
      </c>
    </row>
    <row r="88" customFormat="false" ht="85.05" hidden="false" customHeight="false" outlineLevel="0" collapsed="false">
      <c r="A88" s="15" t="n">
        <v>331277097</v>
      </c>
      <c r="B88" s="16" t="s">
        <v>244</v>
      </c>
      <c r="C88" s="16" t="s">
        <v>245</v>
      </c>
      <c r="D88" s="16" t="n">
        <v>2.97</v>
      </c>
      <c r="E88" s="16" t="n">
        <v>4</v>
      </c>
      <c r="F88" s="16" t="s">
        <v>226</v>
      </c>
      <c r="G88" s="16" t="n">
        <v>329.7</v>
      </c>
      <c r="H88" s="16" t="n">
        <v>150</v>
      </c>
      <c r="I88" s="16" t="n">
        <v>454959</v>
      </c>
      <c r="J88" s="16" t="s">
        <v>68</v>
      </c>
      <c r="K88" s="16" t="s">
        <v>69</v>
      </c>
      <c r="L88" s="16"/>
      <c r="M88" s="16" t="s">
        <v>70</v>
      </c>
      <c r="N88" s="16"/>
      <c r="O88" s="16" t="s">
        <v>247</v>
      </c>
    </row>
    <row r="89" customFormat="false" ht="85.05" hidden="false" customHeight="false" outlineLevel="0" collapsed="false">
      <c r="A89" s="15" t="n">
        <v>330945476</v>
      </c>
      <c r="B89" s="16" t="s">
        <v>244</v>
      </c>
      <c r="C89" s="16" t="s">
        <v>245</v>
      </c>
      <c r="D89" s="16" t="n">
        <v>2.97</v>
      </c>
      <c r="E89" s="16" t="n">
        <v>4</v>
      </c>
      <c r="F89" s="16" t="s">
        <v>226</v>
      </c>
      <c r="G89" s="16" t="n">
        <v>328.9</v>
      </c>
      <c r="H89" s="16" t="n">
        <v>150</v>
      </c>
      <c r="I89" s="16" t="n">
        <v>456066</v>
      </c>
      <c r="J89" s="16" t="s">
        <v>68</v>
      </c>
      <c r="K89" s="16" t="s">
        <v>69</v>
      </c>
      <c r="L89" s="16"/>
      <c r="M89" s="16" t="s">
        <v>75</v>
      </c>
      <c r="N89" s="16"/>
      <c r="O89" s="16" t="s">
        <v>248</v>
      </c>
    </row>
    <row r="90" customFormat="false" ht="85.05" hidden="false" customHeight="false" outlineLevel="0" collapsed="false">
      <c r="A90" s="15" t="n">
        <v>330957764</v>
      </c>
      <c r="B90" s="16" t="s">
        <v>249</v>
      </c>
      <c r="C90" s="16" t="s">
        <v>245</v>
      </c>
      <c r="D90" s="16" t="n">
        <v>2.97</v>
      </c>
      <c r="E90" s="16" t="n">
        <v>4</v>
      </c>
      <c r="F90" s="16" t="s">
        <v>250</v>
      </c>
      <c r="G90" s="16" t="n">
        <v>2448</v>
      </c>
      <c r="H90" s="16" t="n">
        <v>3057.9</v>
      </c>
      <c r="I90" s="16" t="n">
        <v>1249142</v>
      </c>
      <c r="J90" s="16" t="s">
        <v>63</v>
      </c>
      <c r="K90" s="16" t="s">
        <v>125</v>
      </c>
      <c r="L90" s="16"/>
      <c r="M90" s="16"/>
      <c r="N90" s="16"/>
      <c r="O90" s="16" t="s">
        <v>251</v>
      </c>
    </row>
    <row r="91" customFormat="false" ht="85.05" hidden="false" customHeight="false" outlineLevel="0" collapsed="false">
      <c r="A91" s="15" t="n">
        <v>330957762</v>
      </c>
      <c r="B91" s="16" t="s">
        <v>249</v>
      </c>
      <c r="C91" s="16" t="s">
        <v>245</v>
      </c>
      <c r="D91" s="16" t="n">
        <v>2.97</v>
      </c>
      <c r="E91" s="16" t="n">
        <v>4</v>
      </c>
      <c r="F91" s="16" t="s">
        <v>250</v>
      </c>
      <c r="G91" s="16" t="n">
        <v>3383</v>
      </c>
      <c r="H91" s="16" t="n">
        <v>5014.6</v>
      </c>
      <c r="I91" s="16" t="n">
        <v>1482280</v>
      </c>
      <c r="J91" s="16" t="s">
        <v>63</v>
      </c>
      <c r="K91" s="16" t="s">
        <v>125</v>
      </c>
      <c r="L91" s="16"/>
      <c r="M91" s="16"/>
      <c r="N91" s="16"/>
      <c r="O91" s="16" t="s">
        <v>252</v>
      </c>
    </row>
    <row r="92" customFormat="false" ht="85.05" hidden="false" customHeight="false" outlineLevel="0" collapsed="false">
      <c r="A92" s="15" t="n">
        <v>330957758</v>
      </c>
      <c r="B92" s="16" t="s">
        <v>249</v>
      </c>
      <c r="C92" s="16" t="s">
        <v>245</v>
      </c>
      <c r="D92" s="16" t="n">
        <v>2.97</v>
      </c>
      <c r="E92" s="16" t="n">
        <v>4</v>
      </c>
      <c r="F92" s="16" t="s">
        <v>250</v>
      </c>
      <c r="G92" s="16" t="n">
        <v>4700</v>
      </c>
      <c r="H92" s="16" t="n">
        <v>7943.7</v>
      </c>
      <c r="I92" s="16" t="n">
        <v>1690145</v>
      </c>
      <c r="J92" s="16" t="s">
        <v>63</v>
      </c>
      <c r="K92" s="16" t="s">
        <v>64</v>
      </c>
      <c r="L92" s="16"/>
      <c r="M92" s="16"/>
      <c r="N92" s="16"/>
      <c r="O92" s="16" t="s">
        <v>253</v>
      </c>
    </row>
    <row r="93" customFormat="false" ht="85.05" hidden="false" customHeight="false" outlineLevel="0" collapsed="false">
      <c r="A93" s="15" t="n">
        <v>334272389</v>
      </c>
      <c r="B93" s="16" t="s">
        <v>254</v>
      </c>
      <c r="C93" s="16" t="s">
        <v>81</v>
      </c>
      <c r="D93" s="16" t="n">
        <v>3</v>
      </c>
      <c r="E93" s="16" t="n">
        <v>2</v>
      </c>
      <c r="F93" s="16" t="s">
        <v>218</v>
      </c>
      <c r="G93" s="16" t="n">
        <v>498.4</v>
      </c>
      <c r="H93" s="16" t="n">
        <v>330</v>
      </c>
      <c r="I93" s="16" t="n">
        <v>662119</v>
      </c>
      <c r="J93" s="16" t="s">
        <v>68</v>
      </c>
      <c r="K93" s="16" t="s">
        <v>69</v>
      </c>
      <c r="L93" s="16"/>
      <c r="M93" s="16" t="s">
        <v>70</v>
      </c>
      <c r="N93" s="16"/>
      <c r="O93" s="16" t="s">
        <v>255</v>
      </c>
    </row>
    <row r="94" customFormat="false" ht="85.05" hidden="false" customHeight="false" outlineLevel="0" collapsed="false">
      <c r="A94" s="15" t="n">
        <v>330461942</v>
      </c>
      <c r="B94" s="16" t="s">
        <v>256</v>
      </c>
      <c r="C94" s="16" t="s">
        <v>73</v>
      </c>
      <c r="D94" s="16" t="n">
        <v>3.03</v>
      </c>
      <c r="E94" s="16" t="n">
        <v>14</v>
      </c>
      <c r="F94" s="16" t="s">
        <v>78</v>
      </c>
      <c r="G94" s="16" t="n">
        <v>969</v>
      </c>
      <c r="H94" s="16" t="n">
        <v>295.5</v>
      </c>
      <c r="I94" s="16" t="n">
        <v>305000</v>
      </c>
      <c r="J94" s="16" t="s">
        <v>63</v>
      </c>
      <c r="K94" s="16" t="s">
        <v>64</v>
      </c>
      <c r="L94" s="16"/>
      <c r="M94" s="16" t="s">
        <v>130</v>
      </c>
      <c r="N94" s="16"/>
      <c r="O94" s="16" t="s">
        <v>257</v>
      </c>
    </row>
    <row r="95" customFormat="false" ht="85.05" hidden="false" customHeight="false" outlineLevel="0" collapsed="false">
      <c r="A95" s="15" t="n">
        <v>323417541</v>
      </c>
      <c r="B95" s="16" t="s">
        <v>258</v>
      </c>
      <c r="C95" s="16" t="s">
        <v>73</v>
      </c>
      <c r="D95" s="16" t="n">
        <v>3.1</v>
      </c>
      <c r="E95" s="16" t="n">
        <v>6</v>
      </c>
      <c r="F95" s="16" t="s">
        <v>218</v>
      </c>
      <c r="G95" s="16" t="n">
        <v>1066</v>
      </c>
      <c r="H95" s="16" t="n">
        <v>189</v>
      </c>
      <c r="I95" s="16" t="n">
        <v>177298</v>
      </c>
      <c r="J95" s="16" t="s">
        <v>63</v>
      </c>
      <c r="K95" s="16" t="s">
        <v>64</v>
      </c>
      <c r="L95" s="16"/>
      <c r="M95" s="16"/>
      <c r="N95" s="16" t="s">
        <v>259</v>
      </c>
      <c r="O95" s="16" t="s">
        <v>260</v>
      </c>
    </row>
    <row r="96" customFormat="false" ht="95.5" hidden="false" customHeight="false" outlineLevel="0" collapsed="false">
      <c r="A96" s="15" t="n">
        <v>331105707</v>
      </c>
      <c r="B96" s="16" t="s">
        <v>261</v>
      </c>
      <c r="C96" s="16" t="s">
        <v>225</v>
      </c>
      <c r="D96" s="16" t="n">
        <v>3.11</v>
      </c>
      <c r="E96" s="16" t="n">
        <v>7</v>
      </c>
      <c r="F96" s="16" t="s">
        <v>241</v>
      </c>
      <c r="G96" s="16" t="n">
        <v>7290.5</v>
      </c>
      <c r="H96" s="16" t="n">
        <v>1200</v>
      </c>
      <c r="I96" s="16" t="n">
        <v>164598</v>
      </c>
      <c r="J96" s="16" t="s">
        <v>68</v>
      </c>
      <c r="K96" s="16" t="s">
        <v>69</v>
      </c>
      <c r="L96" s="16" t="n">
        <v>11</v>
      </c>
      <c r="M96" s="16" t="s">
        <v>75</v>
      </c>
      <c r="N96" s="16"/>
      <c r="O96" s="16" t="s">
        <v>262</v>
      </c>
    </row>
    <row r="97" customFormat="false" ht="85.05" hidden="false" customHeight="false" outlineLevel="0" collapsed="false">
      <c r="A97" s="15" t="n">
        <v>333226111</v>
      </c>
      <c r="B97" s="16" t="s">
        <v>261</v>
      </c>
      <c r="C97" s="16" t="s">
        <v>225</v>
      </c>
      <c r="D97" s="16" t="n">
        <v>3.11</v>
      </c>
      <c r="E97" s="16" t="n">
        <v>7</v>
      </c>
      <c r="F97" s="16" t="s">
        <v>241</v>
      </c>
      <c r="G97" s="16" t="n">
        <v>7300</v>
      </c>
      <c r="H97" s="16" t="n">
        <v>1200</v>
      </c>
      <c r="I97" s="16" t="n">
        <v>164384</v>
      </c>
      <c r="J97" s="16" t="s">
        <v>68</v>
      </c>
      <c r="K97" s="16" t="s">
        <v>64</v>
      </c>
      <c r="L97" s="16"/>
      <c r="M97" s="16" t="s">
        <v>130</v>
      </c>
      <c r="N97" s="16"/>
      <c r="O97" s="16" t="s">
        <v>263</v>
      </c>
    </row>
    <row r="98" customFormat="false" ht="85.05" hidden="false" customHeight="false" outlineLevel="0" collapsed="false">
      <c r="A98" s="15" t="n">
        <v>331392300</v>
      </c>
      <c r="B98" s="16" t="s">
        <v>264</v>
      </c>
      <c r="C98" s="16" t="s">
        <v>73</v>
      </c>
      <c r="D98" s="16" t="n">
        <v>3.19</v>
      </c>
      <c r="E98" s="16" t="n">
        <v>8</v>
      </c>
      <c r="F98" s="16" t="s">
        <v>213</v>
      </c>
      <c r="G98" s="16" t="n">
        <v>2176</v>
      </c>
      <c r="H98" s="16" t="n">
        <v>450</v>
      </c>
      <c r="I98" s="16" t="n">
        <v>206801</v>
      </c>
      <c r="J98" s="16" t="s">
        <v>63</v>
      </c>
      <c r="K98" s="16" t="s">
        <v>64</v>
      </c>
      <c r="L98" s="16"/>
      <c r="M98" s="16"/>
      <c r="N98" s="16"/>
      <c r="O98" s="16" t="s">
        <v>265</v>
      </c>
    </row>
    <row r="99" customFormat="false" ht="85.05" hidden="false" customHeight="false" outlineLevel="0" collapsed="false">
      <c r="A99" s="15" t="n">
        <v>332499585</v>
      </c>
      <c r="B99" s="16" t="s">
        <v>266</v>
      </c>
      <c r="C99" s="16" t="s">
        <v>206</v>
      </c>
      <c r="D99" s="16" t="n">
        <v>3.21</v>
      </c>
      <c r="E99" s="16" t="n">
        <v>8</v>
      </c>
      <c r="F99" s="16" t="s">
        <v>267</v>
      </c>
      <c r="G99" s="16" t="n">
        <v>1303.9</v>
      </c>
      <c r="H99" s="16" t="n">
        <v>300</v>
      </c>
      <c r="I99" s="16" t="n">
        <v>230071</v>
      </c>
      <c r="J99" s="16" t="s">
        <v>68</v>
      </c>
      <c r="K99" s="16" t="s">
        <v>69</v>
      </c>
      <c r="L99" s="16"/>
      <c r="M99" s="16" t="s">
        <v>75</v>
      </c>
      <c r="N99" s="16"/>
      <c r="O99" s="16" t="s">
        <v>268</v>
      </c>
    </row>
    <row r="100" customFormat="false" ht="85.05" hidden="false" customHeight="false" outlineLevel="0" collapsed="false">
      <c r="A100" s="15" t="n">
        <v>331803538</v>
      </c>
      <c r="B100" s="16" t="s">
        <v>269</v>
      </c>
      <c r="C100" s="16" t="s">
        <v>245</v>
      </c>
      <c r="D100" s="16" t="n">
        <v>3.26</v>
      </c>
      <c r="E100" s="16" t="n">
        <v>5</v>
      </c>
      <c r="F100" s="16" t="s">
        <v>250</v>
      </c>
      <c r="G100" s="16" t="n">
        <v>7529.6</v>
      </c>
      <c r="H100" s="16" t="n">
        <v>2074</v>
      </c>
      <c r="I100" s="16" t="n">
        <v>275446</v>
      </c>
      <c r="J100" s="16" t="s">
        <v>63</v>
      </c>
      <c r="K100" s="16" t="s">
        <v>64</v>
      </c>
      <c r="L100" s="16"/>
      <c r="M100" s="16" t="s">
        <v>70</v>
      </c>
      <c r="N100" s="16"/>
      <c r="O100" s="16" t="s">
        <v>270</v>
      </c>
    </row>
    <row r="101" customFormat="false" ht="85.05" hidden="false" customHeight="false" outlineLevel="0" collapsed="false">
      <c r="A101" s="15" t="n">
        <v>331277069</v>
      </c>
      <c r="B101" s="16" t="s">
        <v>271</v>
      </c>
      <c r="C101" s="16" t="s">
        <v>73</v>
      </c>
      <c r="D101" s="16" t="n">
        <v>3.29</v>
      </c>
      <c r="E101" s="16" t="n">
        <v>6</v>
      </c>
      <c r="F101" s="16" t="s">
        <v>213</v>
      </c>
      <c r="G101" s="16" t="n">
        <v>491</v>
      </c>
      <c r="H101" s="16" t="n">
        <v>435</v>
      </c>
      <c r="I101" s="16" t="n">
        <v>885947</v>
      </c>
      <c r="J101" s="16" t="s">
        <v>68</v>
      </c>
      <c r="K101" s="16" t="s">
        <v>69</v>
      </c>
      <c r="L101" s="16"/>
      <c r="M101" s="16" t="s">
        <v>70</v>
      </c>
      <c r="N101" s="16"/>
      <c r="O101" s="16" t="s">
        <v>272</v>
      </c>
    </row>
    <row r="102" customFormat="false" ht="85.05" hidden="false" customHeight="false" outlineLevel="0" collapsed="false">
      <c r="A102" s="15" t="n">
        <v>317448280</v>
      </c>
      <c r="B102" s="16" t="s">
        <v>271</v>
      </c>
      <c r="C102" s="16" t="s">
        <v>73</v>
      </c>
      <c r="D102" s="16" t="n">
        <v>3.29</v>
      </c>
      <c r="E102" s="16" t="n">
        <v>9</v>
      </c>
      <c r="F102" s="16" t="s">
        <v>213</v>
      </c>
      <c r="G102" s="16" t="n">
        <v>506</v>
      </c>
      <c r="H102" s="16" t="n">
        <v>435</v>
      </c>
      <c r="I102" s="16" t="n">
        <v>859684</v>
      </c>
      <c r="J102" s="16" t="s">
        <v>68</v>
      </c>
      <c r="K102" s="16" t="s">
        <v>64</v>
      </c>
      <c r="L102" s="16"/>
      <c r="M102" s="16" t="s">
        <v>70</v>
      </c>
      <c r="N102" s="16"/>
      <c r="O102" s="16" t="s">
        <v>273</v>
      </c>
    </row>
    <row r="103" customFormat="false" ht="85.05" hidden="false" customHeight="false" outlineLevel="0" collapsed="false">
      <c r="A103" s="15" t="n">
        <v>330461969</v>
      </c>
      <c r="B103" s="16" t="s">
        <v>274</v>
      </c>
      <c r="C103" s="16" t="s">
        <v>81</v>
      </c>
      <c r="D103" s="16" t="n">
        <v>3.29</v>
      </c>
      <c r="E103" s="16" t="n">
        <v>7</v>
      </c>
      <c r="F103" s="16" t="s">
        <v>218</v>
      </c>
      <c r="G103" s="16" t="n">
        <v>3175</v>
      </c>
      <c r="H103" s="16" t="n">
        <v>960</v>
      </c>
      <c r="I103" s="16" t="n">
        <v>302362</v>
      </c>
      <c r="J103" s="16" t="s">
        <v>63</v>
      </c>
      <c r="K103" s="16" t="s">
        <v>64</v>
      </c>
      <c r="L103" s="16"/>
      <c r="M103" s="16" t="s">
        <v>130</v>
      </c>
      <c r="N103" s="16"/>
      <c r="O103" s="16" t="s">
        <v>275</v>
      </c>
    </row>
    <row r="104" customFormat="false" ht="74.6" hidden="false" customHeight="false" outlineLevel="0" collapsed="false">
      <c r="A104" s="15" t="n">
        <v>326985733</v>
      </c>
      <c r="B104" s="16" t="s">
        <v>276</v>
      </c>
      <c r="C104" s="16" t="s">
        <v>73</v>
      </c>
      <c r="D104" s="16" t="n">
        <v>3.34</v>
      </c>
      <c r="E104" s="16" t="n">
        <v>9</v>
      </c>
      <c r="F104" s="16" t="s">
        <v>213</v>
      </c>
      <c r="G104" s="16" t="n">
        <v>1519.9</v>
      </c>
      <c r="H104" s="16" t="n">
        <v>707</v>
      </c>
      <c r="I104" s="16" t="n">
        <v>465162</v>
      </c>
      <c r="J104" s="16" t="s">
        <v>63</v>
      </c>
      <c r="K104" s="16" t="s">
        <v>64</v>
      </c>
      <c r="L104" s="16"/>
      <c r="M104" s="16" t="s">
        <v>70</v>
      </c>
      <c r="N104" s="16"/>
      <c r="O104" s="16" t="s">
        <v>277</v>
      </c>
    </row>
    <row r="105" customFormat="false" ht="64.15" hidden="false" customHeight="false" outlineLevel="0" collapsed="false">
      <c r="A105" s="15" t="n">
        <v>334830734</v>
      </c>
      <c r="B105" s="16" t="s">
        <v>278</v>
      </c>
      <c r="C105" s="16" t="s">
        <v>73</v>
      </c>
      <c r="D105" s="16" t="n">
        <v>3.35</v>
      </c>
      <c r="E105" s="16" t="n">
        <v>7</v>
      </c>
      <c r="F105" s="16" t="s">
        <v>213</v>
      </c>
      <c r="G105" s="16" t="n">
        <v>1070</v>
      </c>
      <c r="H105" s="16" t="n">
        <v>370</v>
      </c>
      <c r="I105" s="16" t="n">
        <v>345794</v>
      </c>
      <c r="J105" s="16" t="s">
        <v>68</v>
      </c>
      <c r="K105" s="16" t="s">
        <v>64</v>
      </c>
      <c r="L105" s="16"/>
      <c r="M105" s="16" t="s">
        <v>70</v>
      </c>
      <c r="N105" s="16"/>
      <c r="O105" s="16" t="s">
        <v>279</v>
      </c>
    </row>
    <row r="106" customFormat="false" ht="85.05" hidden="false" customHeight="false" outlineLevel="0" collapsed="false">
      <c r="A106" s="15" t="n">
        <v>327950383</v>
      </c>
      <c r="B106" s="16" t="s">
        <v>280</v>
      </c>
      <c r="C106" s="16" t="s">
        <v>73</v>
      </c>
      <c r="D106" s="16" t="n">
        <v>3.46</v>
      </c>
      <c r="E106" s="16" t="n">
        <v>5</v>
      </c>
      <c r="F106" s="16" t="s">
        <v>218</v>
      </c>
      <c r="G106" s="16" t="n">
        <v>1600</v>
      </c>
      <c r="H106" s="16" t="n">
        <v>1160</v>
      </c>
      <c r="I106" s="16" t="n">
        <v>725000</v>
      </c>
      <c r="J106" s="16" t="s">
        <v>68</v>
      </c>
      <c r="K106" s="16" t="s">
        <v>64</v>
      </c>
      <c r="L106" s="16"/>
      <c r="M106" s="16" t="s">
        <v>70</v>
      </c>
      <c r="N106" s="16"/>
      <c r="O106" s="16" t="s">
        <v>281</v>
      </c>
    </row>
    <row r="107" customFormat="false" ht="85.05" hidden="false" customHeight="false" outlineLevel="0" collapsed="false">
      <c r="A107" s="15" t="n">
        <v>335073449</v>
      </c>
      <c r="B107" s="16" t="s">
        <v>282</v>
      </c>
      <c r="C107" s="16" t="s">
        <v>73</v>
      </c>
      <c r="D107" s="16" t="n">
        <v>3.47</v>
      </c>
      <c r="E107" s="16" t="n">
        <v>6</v>
      </c>
      <c r="F107" s="16" t="s">
        <v>213</v>
      </c>
      <c r="G107" s="16" t="n">
        <v>703</v>
      </c>
      <c r="H107" s="16" t="n">
        <v>250</v>
      </c>
      <c r="I107" s="16" t="n">
        <v>355619</v>
      </c>
      <c r="J107" s="16" t="s">
        <v>63</v>
      </c>
      <c r="K107" s="16" t="s">
        <v>69</v>
      </c>
      <c r="L107" s="16"/>
      <c r="M107" s="16" t="s">
        <v>118</v>
      </c>
      <c r="N107" s="16"/>
      <c r="O107" s="16" t="s">
        <v>283</v>
      </c>
    </row>
    <row r="108" customFormat="false" ht="85.05" hidden="false" customHeight="false" outlineLevel="0" collapsed="false">
      <c r="A108" s="15" t="n">
        <v>331277048</v>
      </c>
      <c r="B108" s="16" t="s">
        <v>284</v>
      </c>
      <c r="C108" s="16" t="s">
        <v>96</v>
      </c>
      <c r="D108" s="16" t="n">
        <v>3.48</v>
      </c>
      <c r="E108" s="16" t="n">
        <v>16</v>
      </c>
      <c r="F108" s="16" t="s">
        <v>96</v>
      </c>
      <c r="G108" s="16" t="n">
        <v>665</v>
      </c>
      <c r="H108" s="16" t="n">
        <v>145</v>
      </c>
      <c r="I108" s="16" t="n">
        <v>218045</v>
      </c>
      <c r="J108" s="16" t="s">
        <v>68</v>
      </c>
      <c r="K108" s="16" t="s">
        <v>64</v>
      </c>
      <c r="L108" s="16"/>
      <c r="M108" s="16" t="s">
        <v>75</v>
      </c>
      <c r="N108" s="16"/>
      <c r="O108" s="16" t="s">
        <v>285</v>
      </c>
    </row>
    <row r="109" customFormat="false" ht="85.05" hidden="false" customHeight="false" outlineLevel="0" collapsed="false">
      <c r="A109" s="15" t="n">
        <v>331159058</v>
      </c>
      <c r="B109" s="16" t="s">
        <v>286</v>
      </c>
      <c r="C109" s="16" t="s">
        <v>245</v>
      </c>
      <c r="D109" s="16" t="n">
        <v>3.48</v>
      </c>
      <c r="E109" s="16" t="n">
        <v>4</v>
      </c>
      <c r="F109" s="16" t="s">
        <v>250</v>
      </c>
      <c r="G109" s="16" t="n">
        <v>800</v>
      </c>
      <c r="H109" s="16" t="n">
        <v>480</v>
      </c>
      <c r="I109" s="16" t="n">
        <v>600000</v>
      </c>
      <c r="J109" s="16" t="s">
        <v>68</v>
      </c>
      <c r="K109" s="16" t="s">
        <v>125</v>
      </c>
      <c r="L109" s="16"/>
      <c r="M109" s="16" t="s">
        <v>75</v>
      </c>
      <c r="N109" s="16"/>
      <c r="O109" s="16" t="s">
        <v>287</v>
      </c>
    </row>
    <row r="110" customFormat="false" ht="85.05" hidden="false" customHeight="false" outlineLevel="0" collapsed="false">
      <c r="A110" s="15" t="n">
        <v>321649738</v>
      </c>
      <c r="B110" s="16" t="s">
        <v>288</v>
      </c>
      <c r="C110" s="16" t="s">
        <v>289</v>
      </c>
      <c r="D110" s="16" t="n">
        <v>3.49</v>
      </c>
      <c r="E110" s="16" t="n">
        <v>19</v>
      </c>
      <c r="F110" s="16" t="s">
        <v>290</v>
      </c>
      <c r="G110" s="16" t="n">
        <v>515.7</v>
      </c>
      <c r="H110" s="16" t="n">
        <v>120</v>
      </c>
      <c r="I110" s="16" t="n">
        <v>232693</v>
      </c>
      <c r="J110" s="16" t="s">
        <v>68</v>
      </c>
      <c r="K110" s="16" t="s">
        <v>64</v>
      </c>
      <c r="L110" s="16" t="n">
        <v>10.3</v>
      </c>
      <c r="M110" s="16"/>
      <c r="N110" s="16"/>
      <c r="O110" s="16" t="s">
        <v>291</v>
      </c>
    </row>
    <row r="111" customFormat="false" ht="53.7" hidden="false" customHeight="false" outlineLevel="0" collapsed="false">
      <c r="A111" s="15" t="n">
        <v>326581775</v>
      </c>
      <c r="B111" s="16" t="s">
        <v>292</v>
      </c>
      <c r="C111" s="16" t="s">
        <v>245</v>
      </c>
      <c r="D111" s="16" t="n">
        <v>3.49</v>
      </c>
      <c r="E111" s="16" t="n">
        <v>7</v>
      </c>
      <c r="F111" s="16" t="s">
        <v>250</v>
      </c>
      <c r="G111" s="16" t="n">
        <v>4953.5</v>
      </c>
      <c r="H111" s="16" t="n">
        <v>1750</v>
      </c>
      <c r="I111" s="16" t="n">
        <v>353286</v>
      </c>
      <c r="J111" s="16" t="s">
        <v>63</v>
      </c>
      <c r="K111" s="16" t="s">
        <v>69</v>
      </c>
      <c r="L111" s="16"/>
      <c r="M111" s="16" t="s">
        <v>75</v>
      </c>
      <c r="N111" s="16"/>
      <c r="O111" s="16" t="s">
        <v>293</v>
      </c>
    </row>
    <row r="112" customFormat="false" ht="85.05" hidden="false" customHeight="false" outlineLevel="0" collapsed="false">
      <c r="A112" s="15" t="n">
        <v>334611337</v>
      </c>
      <c r="B112" s="16" t="s">
        <v>294</v>
      </c>
      <c r="C112" s="16" t="s">
        <v>73</v>
      </c>
      <c r="D112" s="16" t="n">
        <v>3.5</v>
      </c>
      <c r="E112" s="16" t="n">
        <v>1</v>
      </c>
      <c r="F112" s="16" t="s">
        <v>213</v>
      </c>
      <c r="G112" s="16" t="n">
        <v>358.2</v>
      </c>
      <c r="H112" s="16" t="n">
        <v>63</v>
      </c>
      <c r="I112" s="16" t="n">
        <v>175879</v>
      </c>
      <c r="J112" s="16" t="s">
        <v>68</v>
      </c>
      <c r="K112" s="16" t="s">
        <v>64</v>
      </c>
      <c r="L112" s="16" t="n">
        <v>15.1</v>
      </c>
      <c r="M112" s="16" t="s">
        <v>65</v>
      </c>
      <c r="N112" s="16"/>
      <c r="O112" s="16" t="s">
        <v>295</v>
      </c>
    </row>
    <row r="113" customFormat="false" ht="74.6" hidden="false" customHeight="false" outlineLevel="0" collapsed="false">
      <c r="A113" s="15" t="n">
        <v>333797467</v>
      </c>
      <c r="B113" s="16" t="s">
        <v>296</v>
      </c>
      <c r="C113" s="16" t="s">
        <v>289</v>
      </c>
      <c r="D113" s="16" t="n">
        <v>3.52</v>
      </c>
      <c r="E113" s="16" t="n">
        <v>18</v>
      </c>
      <c r="F113" s="16" t="s">
        <v>290</v>
      </c>
      <c r="G113" s="16" t="n">
        <v>515</v>
      </c>
      <c r="H113" s="16" t="n">
        <v>100</v>
      </c>
      <c r="I113" s="16" t="n">
        <v>194175</v>
      </c>
      <c r="J113" s="16" t="s">
        <v>63</v>
      </c>
      <c r="K113" s="16" t="s">
        <v>64</v>
      </c>
      <c r="L113" s="16"/>
      <c r="M113" s="16"/>
      <c r="N113" s="16"/>
      <c r="O113" s="16" t="s">
        <v>297</v>
      </c>
    </row>
    <row r="114" customFormat="false" ht="85.05" hidden="false" customHeight="false" outlineLevel="0" collapsed="false">
      <c r="A114" s="15" t="n">
        <v>331159078</v>
      </c>
      <c r="B114" s="16" t="s">
        <v>298</v>
      </c>
      <c r="C114" s="16" t="s">
        <v>245</v>
      </c>
      <c r="D114" s="16" t="n">
        <v>3.53</v>
      </c>
      <c r="E114" s="16" t="n">
        <v>6</v>
      </c>
      <c r="F114" s="16" t="s">
        <v>250</v>
      </c>
      <c r="G114" s="16" t="n">
        <v>3924.8</v>
      </c>
      <c r="H114" s="16" t="n">
        <v>1220</v>
      </c>
      <c r="I114" s="16" t="n">
        <v>310844</v>
      </c>
      <c r="J114" s="16" t="s">
        <v>63</v>
      </c>
      <c r="K114" s="16" t="s">
        <v>69</v>
      </c>
      <c r="L114" s="16"/>
      <c r="M114" s="16" t="s">
        <v>75</v>
      </c>
      <c r="N114" s="16"/>
      <c r="O114" s="16" t="s">
        <v>299</v>
      </c>
    </row>
    <row r="115" customFormat="false" ht="85.05" hidden="false" customHeight="false" outlineLevel="0" collapsed="false">
      <c r="A115" s="15" t="n">
        <v>334842817</v>
      </c>
      <c r="B115" s="16" t="s">
        <v>300</v>
      </c>
      <c r="C115" s="16" t="s">
        <v>245</v>
      </c>
      <c r="D115" s="16" t="n">
        <v>3.56</v>
      </c>
      <c r="E115" s="16" t="n">
        <v>6</v>
      </c>
      <c r="F115" s="16" t="s">
        <v>301</v>
      </c>
      <c r="G115" s="16" t="n">
        <v>791</v>
      </c>
      <c r="H115" s="16" t="n">
        <v>272.9</v>
      </c>
      <c r="I115" s="16" t="n">
        <v>345046</v>
      </c>
      <c r="J115" s="16" t="s">
        <v>68</v>
      </c>
      <c r="K115" s="16" t="s">
        <v>64</v>
      </c>
      <c r="L115" s="16"/>
      <c r="M115" s="16"/>
      <c r="N115" s="16"/>
      <c r="O115" s="16" t="s">
        <v>302</v>
      </c>
    </row>
    <row r="116" customFormat="false" ht="85.05" hidden="false" customHeight="false" outlineLevel="0" collapsed="false">
      <c r="A116" s="15" t="n">
        <v>329660360</v>
      </c>
      <c r="B116" s="16" t="s">
        <v>303</v>
      </c>
      <c r="C116" s="16" t="s">
        <v>96</v>
      </c>
      <c r="D116" s="16" t="n">
        <v>3.58</v>
      </c>
      <c r="E116" s="16" t="n">
        <v>16</v>
      </c>
      <c r="F116" s="16" t="s">
        <v>96</v>
      </c>
      <c r="G116" s="16" t="n">
        <v>1214.3</v>
      </c>
      <c r="H116" s="16" t="n">
        <v>205</v>
      </c>
      <c r="I116" s="16" t="n">
        <v>168822</v>
      </c>
      <c r="J116" s="16" t="s">
        <v>63</v>
      </c>
      <c r="K116" s="16" t="s">
        <v>64</v>
      </c>
      <c r="L116" s="16"/>
      <c r="M116" s="16" t="s">
        <v>130</v>
      </c>
      <c r="N116" s="16"/>
      <c r="O116" s="16" t="s">
        <v>304</v>
      </c>
    </row>
  </sheetData>
  <autoFilter ref="A1:O116"/>
  <hyperlinks>
    <hyperlink ref="A2" r:id="rId2" display="https://www.cian.ru/sale/commercial/331348350/?mlSearchSessionGuid=3ac2b91ec48fa48ad74ab198ec843006"/>
    <hyperlink ref="A3" r:id="rId3" display="https://www.cian.ru/sale/commercial/331998933/?mlSearchSessionGuid=3ac2b91ec48fa48ad74ab198ec843006"/>
    <hyperlink ref="A4" r:id="rId4" display="https://www.cian.ru/sale/commercial/332617346/?mlSearchSessionGuid=3ac2b91ec48fa48ad74ab198ec843006"/>
    <hyperlink ref="A5" r:id="rId5" display="https://www.cian.ru/sale/commercial/334187339/?mlSearchSessionGuid=3ac2b91ec48fa48ad74ab198ec843006"/>
    <hyperlink ref="A6" r:id="rId6" display="https://www.cian.ru/sale/commercial/333407108/?mlSearchSessionGuid=3ac2b91ec48fa48ad74ab198ec843006"/>
    <hyperlink ref="A7" r:id="rId7" display="https://www.cian.ru/sale/commercial/323011386/?mlSearchSessionGuid=3ac2b91ec48fa48ad74ab198ec843006"/>
    <hyperlink ref="A8" r:id="rId8" display="https://www.cian.ru/sale/commercial/331132863/?mlSearchSessionGuid=3ac2b91ec48fa48ad74ab198ec843006"/>
    <hyperlink ref="A9" r:id="rId9" display="https://www.cian.ru/sale/commercial/332029732/?mlSearchSessionGuid=3ac2b91ec48fa48ad74ab198ec843006"/>
    <hyperlink ref="A10" r:id="rId10" display="https://www.cian.ru/sale/commercial/334222990/?mlSearchSessionGuid=3ac2b91ec48fa48ad74ab198ec843006"/>
    <hyperlink ref="A11" r:id="rId11" display="https://www.cian.ru/sale/commercial/332617461/?mlSearchSessionGuid=3ac2b91ec48fa48ad74ab198ec843006"/>
    <hyperlink ref="A12" r:id="rId12" display="https://www.cian.ru/sale/commercial/334521519/?mlSearchSessionGuid=3ac2b91ec48fa48ad74ab198ec843006"/>
    <hyperlink ref="A13" r:id="rId13" display="https://www.cian.ru/sale/commercial/323203435/?mlSearchSessionGuid=3ac2b91ec48fa48ad74ab198ec843006"/>
    <hyperlink ref="A14" r:id="rId14" display="https://www.cian.ru/sale/commercial/317720310/?mlSearchSessionGuid=3ac2b91ec48fa48ad74ab198ec843006"/>
    <hyperlink ref="A15" r:id="rId15" display="https://www.cian.ru/sale/commercial/317611480/?mlSearchSessionGuid=b132bea00d2adfdcf32c0349d93bd4fe"/>
    <hyperlink ref="A16" r:id="rId16" display="https://www.cian.ru/sale/commercial/323692057/?mlSearchSessionGuid=b132bea00d2adfdcf32c0349d93bd4fe"/>
    <hyperlink ref="A17" r:id="rId17" display="https://www.cian.ru/sale/commercial/331199745/?mlSearchSessionGuid=3ac2b91ec48fa48ad74ab198ec843006"/>
    <hyperlink ref="A18" r:id="rId18" display="https://www.cian.ru/sale/commercial/334575746/?mlSearchSessionGuid=f83ce42be4e85d371ce24e079ac9cb59"/>
    <hyperlink ref="A19" r:id="rId19" display="https://www.cian.ru/sale/commercial/331803513/?mlSearchSessionGuid=3ac2b91ec48fa48ad74ab198ec843006"/>
    <hyperlink ref="A20" r:id="rId20" display="https://www.cian.ru/sale/commercial/330436079/?mlSearchSessionGuid=b132bea00d2adfdcf32c0349d93bd4fe"/>
    <hyperlink ref="A21" r:id="rId21" display="https://www.cian.ru/sale/commercial/333669809/?mlSearchSessionGuid=3ac2b91ec48fa48ad74ab198ec843006"/>
    <hyperlink ref="A22" r:id="rId22" display="https://www.cian.ru/sale/commercial/334638013/?mlSearchSessionGuid=3ac2b91ec48fa48ad74ab198ec843006"/>
    <hyperlink ref="A23" r:id="rId23" display="https://www.cian.ru/sale/commercial/333432976/?mlSearchSessionGuid=3ac2b91ec48fa48ad74ab198ec843006"/>
    <hyperlink ref="A24" r:id="rId24" display="https://www.cian.ru/sale/commercial/321147541/?mlSearchSessionGuid=b132bea00d2adfdcf32c0349d93bd4fe"/>
    <hyperlink ref="A25" r:id="rId25" display="https://www.cian.ru/sale/commercial/322849082/?mlSearchSessionGuid=3ac2b91ec48fa48ad74ab198ec843006"/>
    <hyperlink ref="A26" r:id="rId26" display="https://www.cian.ru/sale/commercial/328649553/?mlSearchSessionGuid=3ac2b91ec48fa48ad74ab198ec843006"/>
    <hyperlink ref="A27" r:id="rId27" display="https://www.cian.ru/sale/commercial/331580718/?mlSearchSessionGuid=b132bea00d2adfdcf32c0349d93bd4fe"/>
    <hyperlink ref="A28" r:id="rId28" display="https://www.cian.ru/sale/commercial/332617470/?mlSearchSessionGuid=b132bea00d2adfdcf32c0349d93bd4fe"/>
    <hyperlink ref="A29" r:id="rId29" display="https://www.cian.ru/sale/commercial/332882108/?mlSearchSessionGuid=3ac2b91ec48fa48ad74ab198ec843006"/>
    <hyperlink ref="A30" r:id="rId30" display="https://www.cian.ru/sale/commercial/334575896/?mlSearchSessionGuid=b132bea00d2adfdcf32c0349d93bd4fe"/>
    <hyperlink ref="A31" r:id="rId31" display="https://www.cian.ru/sale/commercial/333719823/?mlSearchSessionGuid=b132bea00d2adfdcf32c0349d93bd4fe"/>
    <hyperlink ref="A32" r:id="rId32" display="https://www.cian.ru/sale/commercial/305586843/?mlSearchSessionGuid=b132bea00d2adfdcf32c0349d93bd4fe"/>
    <hyperlink ref="A33" r:id="rId33" display="https://www.cian.ru/sale/commercial/332212235/?mlSearchSessionGuid=b132bea00d2adfdcf32c0349d93bd4fe"/>
    <hyperlink ref="A34" r:id="rId34" display="https://www.cian.ru/sale/commercial/332277172/?mlSearchSessionGuid=b132bea00d2adfdcf32c0349d93bd4fe"/>
    <hyperlink ref="A35" r:id="rId35" display="https://www.cian.ru/sale/commercial/334932232/?mlSearchSessionGuid=b132bea00d2adfdcf32c0349d93bd4fe"/>
    <hyperlink ref="A36" r:id="rId36" display="https://www.cian.ru/sale/commercial/334652204/?mlSearchSessionGuid=3ac2b91ec48fa48ad74ab198ec843006"/>
    <hyperlink ref="A37" r:id="rId37" display="https://www.cian.ru/sale/commercial/334575744/?mlSearchSessionGuid=f83ce42be4e85d371ce24e079ac9cb59"/>
    <hyperlink ref="A38" r:id="rId38" display="https://www.cian.ru/sale/commercial/282543763/?mlSearchSessionGuid=b132bea00d2adfdcf32c0349d93bd4fe"/>
    <hyperlink ref="A39" r:id="rId39" display="https://www.cian.ru/sale/commercial/332512369/?mlSearchSessionGuid=3ac2b91ec48fa48ad74ab198ec843006"/>
    <hyperlink ref="A40" r:id="rId40" display="https://www.cian.ru/sale/commercial/286410372/?mlSearchSessionGuid=b132bea00d2adfdcf32c0349d93bd4fe"/>
    <hyperlink ref="A41" r:id="rId41" display="https://www.cian.ru/sale/commercial/331277126/?mlSearchSessionGuid=b132bea00d2adfdcf32c0349d93bd4fe"/>
    <hyperlink ref="A42" r:id="rId42" display="https://www.cian.ru/sale/commercial/323025236/?mlSearchSessionGuid=b132bea00d2adfdcf32c0349d93bd4fe"/>
    <hyperlink ref="A43" r:id="rId43" display="https://www.cian.ru/sale/commercial/329908517/?mlSearchSessionGuid=3ac2b91ec48fa48ad74ab198ec843006"/>
    <hyperlink ref="A44" r:id="rId44" display="https://www.cian.ru/sale/commercial/325950231/?mlSearchSessionGuid=b132bea00d2adfdcf32c0349d93bd4fe"/>
    <hyperlink ref="A45" r:id="rId45" display="https://www.cian.ru/sale/commercial/331538478/?mlSearchSessionGuid=b132bea00d2adfdcf32c0349d93bd4fe"/>
    <hyperlink ref="A46" r:id="rId46" display="https://www.cian.ru/sale/commercial/332617259/?mlSearchSessionGuid=3ac2b91ec48fa48ad74ab198ec843006"/>
    <hyperlink ref="A47" r:id="rId47" display="https://www.cian.ru/sale/commercial/312768003/?mlSearchSessionGuid=b132bea00d2adfdcf32c0349d93bd4fe"/>
    <hyperlink ref="A48" r:id="rId48" display="https://www.cian.ru/sale/commercial/310474501/?mlSearchSessionGuid=3ac2b91ec48fa48ad74ab198ec843006"/>
    <hyperlink ref="A49" r:id="rId49" display="https://www.cian.ru/sale/commercial/335031268/?mlSearchSessionGuid=b132bea00d2adfdcf32c0349d93bd4fe"/>
    <hyperlink ref="A50" r:id="rId50" display="https://www.cian.ru/sale/commercial/334966715/?mlSearchSessionGuid=b132bea00d2adfdcf32c0349d93bd4fe"/>
    <hyperlink ref="A51" r:id="rId51" display="https://www.cian.ru/sale/commercial/331530367/?mlSearchSessionGuid=b132bea00d2adfdcf32c0349d93bd4fe"/>
    <hyperlink ref="A52" r:id="rId52" display="https://www.cian.ru/sale/commercial/327893414/?mlSearchSessionGuid=b132bea00d2adfdcf32c0349d93bd4fe"/>
    <hyperlink ref="A53" r:id="rId53" display="https://www.cian.ru/sale/commercial/332836090/?mlSearchSessionGuid=b132bea00d2adfdcf32c0349d93bd4fe"/>
    <hyperlink ref="A54" r:id="rId54" display="https://www.cian.ru/sale/commercial/333606806/?mlSearchSessionGuid=b132bea00d2adfdcf32c0349d93bd4fe"/>
    <hyperlink ref="A55" r:id="rId55" display="https://www.cian.ru/sale/commercial/330462119/?mlSearchSessionGuid=b132bea00d2adfdcf32c0349d93bd4fe"/>
    <hyperlink ref="A56" r:id="rId56" display="https://www.cian.ru/sale/commercial/324142511/?mlSearchSessionGuid=b132bea00d2adfdcf32c0349d93bd4fe"/>
    <hyperlink ref="A57" r:id="rId57" display="https://www.cian.ru/sale/commercial/328933051/?mlSearchSessionGuid=b132bea00d2adfdcf32c0349d93bd4fe"/>
    <hyperlink ref="A58" r:id="rId58" display="https://www.cian.ru/sale/commercial/331530365/?mlSearchSessionGuid=b132bea00d2adfdcf32c0349d93bd4fe"/>
    <hyperlink ref="A59" r:id="rId59" display="https://www.cian.ru/sale/commercial/330437489/?mlSearchSessionGuid=b132bea00d2adfdcf32c0349d93bd4fe"/>
    <hyperlink ref="A60" r:id="rId60" display="https://www.cian.ru/sale/commercial/334575796/?mlSearchSessionGuid=f83ce42be4e85d371ce24e079ac9cb59"/>
    <hyperlink ref="A61" r:id="rId61" display="https://www.cian.ru/sale/commercial/297844082/?mlSearchSessionGuid=b132bea00d2adfdcf32c0349d93bd4fe"/>
    <hyperlink ref="A62" r:id="rId62" display="https://www.cian.ru/sale/commercial/331771856/?mlSearchSessionGuid=b132bea00d2adfdcf32c0349d93bd4fe"/>
    <hyperlink ref="A63" r:id="rId63" display="https://www.cian.ru/sale/commercial/330437460/?mlSearchSessionGuid=3ac2b91ec48fa48ad74ab198ec843006"/>
    <hyperlink ref="A64" r:id="rId64" display="https://www.cian.ru/sale/commercial/331277076/?mlSearchSessionGuid=3ac2b91ec48fa48ad74ab198ec843006"/>
    <hyperlink ref="A65" r:id="rId65" display="https://www.cian.ru/sale/commercial/331277080/?mlSearchSessionGuid=3ac2b91ec48fa48ad74ab198ec843006"/>
    <hyperlink ref="A66" r:id="rId66" display="https://www.cian.ru/sale/commercial/333710477/?mlSearchSessionGuid=b132bea00d2adfdcf32c0349d93bd4fe"/>
    <hyperlink ref="A67" r:id="rId67" display="https://www.cian.ru/sale/commercial/332204807/?mlSearchSessionGuid=b132bea00d2adfdcf32c0349d93bd4fe"/>
    <hyperlink ref="A68" r:id="rId68" display="https://www.cian.ru/sale/commercial/331277042/?mlSearchSessionGuid=b132bea00d2adfdcf32c0349d93bd4fe"/>
    <hyperlink ref="A69" r:id="rId69" display="https://www.cian.ru/sale/commercial/334455619/?mlSearchSessionGuid=b132bea00d2adfdcf32c0349d93bd4fe"/>
    <hyperlink ref="A70" r:id="rId70" display="https://www.cian.ru/sale/commercial/332695369/?mlSearchSessionGuid=b132bea00d2adfdcf32c0349d93bd4fe"/>
    <hyperlink ref="A71" r:id="rId71" display="https://www.cian.ru/sale/commercial/324926534/?mlSearchSessionGuid=b132bea00d2adfdcf32c0349d93bd4fe"/>
    <hyperlink ref="A72" r:id="rId72" display="https://www.cian.ru/sale/commercial/310224472/?mlSearchSessionGuid=3ac2b91ec48fa48ad74ab198ec843006"/>
    <hyperlink ref="A73" r:id="rId73" display="https://www.cian.ru/sale/commercial/331198267/?mlSearchSessionGuid=3ac2b91ec48fa48ad74ab198ec843006"/>
    <hyperlink ref="A74" r:id="rId74" display="https://www.cian.ru/sale/commercial/334861047/?mlSearchSessionGuid=b132bea00d2adfdcf32c0349d93bd4fe"/>
    <hyperlink ref="A75" r:id="rId75" display="https://www.cian.ru/sale/commercial/329899324/?mlSearchSessionGuid=b132bea00d2adfdcf32c0349d93bd4fe"/>
    <hyperlink ref="A76" r:id="rId76" display="https://www.cian.ru/sale/commercial/330467330/?mlSearchSessionGuid=b132bea00d2adfdcf32c0349d93bd4fe"/>
    <hyperlink ref="A77" r:id="rId77" display="https://www.cian.ru/sale/commercial/306168925/?mlSearchSessionGuid=b132bea00d2adfdcf32c0349d93bd4fe"/>
    <hyperlink ref="A78" r:id="rId78" display="https://www.cian.ru/sale/commercial/332696406/?mlSearchSessionGuid=b132bea00d2adfdcf32c0349d93bd4fe"/>
    <hyperlink ref="A79" r:id="rId79" display="https://www.cian.ru/sale/commercial/331132858/?mlSearchSessionGuid=b132bea00d2adfdcf32c0349d93bd4fe"/>
    <hyperlink ref="A80" r:id="rId80" display="https://www.cian.ru/sale/commercial/305375746/?mlSearchSessionGuid=b132bea00d2adfdcf32c0349d93bd4fe"/>
    <hyperlink ref="A81" r:id="rId81" display="https://www.cian.ru/sale/commercial/328311500/?mlSearchSessionGuid=b132bea00d2adfdcf32c0349d93bd4fe"/>
    <hyperlink ref="A82" r:id="rId82" display="https://www.cian.ru/sale/commercial/331198245/?mlSearchSessionGuid=b132bea00d2adfdcf32c0349d93bd4fe"/>
    <hyperlink ref="A83" r:id="rId83" display="https://www.cian.ru/sale/commercial/330437443/?mlSearchSessionGuid=b132bea00d2adfdcf32c0349d93bd4fe"/>
    <hyperlink ref="A84" r:id="rId84" display="https://www.cian.ru/sale/commercial/332700174/?mlSearchSessionGuid=b132bea00d2adfdcf32c0349d93bd4fe"/>
    <hyperlink ref="A85" r:id="rId85" display="https://www.cian.ru/sale/commercial/331277051/?mlSearchSessionGuid=b132bea00d2adfdcf32c0349d93bd4fe"/>
    <hyperlink ref="A86" r:id="rId86" display="https://www.cian.ru/sale/commercial/334544873/?mlSearchSessionGuid=b132bea00d2adfdcf32c0349d93bd4fe"/>
    <hyperlink ref="A87" r:id="rId87" display="https://www.cian.ru/sale/commercial/326683373/?mlSearchSessionGuid=b132bea00d2adfdcf32c0349d93bd4fe"/>
    <hyperlink ref="A88" r:id="rId88" display="https://www.cian.ru/sale/commercial/331277097/?mlSearchSessionGuid=b132bea00d2adfdcf32c0349d93bd4fe"/>
    <hyperlink ref="A89" r:id="rId89" display="https://www.cian.ru/sale/commercial/330945476/?mlSearchSessionGuid=b132bea00d2adfdcf32c0349d93bd4fe"/>
    <hyperlink ref="A90" r:id="rId90" display="https://www.cian.ru/sale/commercial/330957764/?mlSearchSessionGuid=b132bea00d2adfdcf32c0349d93bd4fe"/>
    <hyperlink ref="A91" r:id="rId91" display="https://www.cian.ru/sale/commercial/330957762/?mlSearchSessionGuid=b132bea00d2adfdcf32c0349d93bd4fe"/>
    <hyperlink ref="A92" r:id="rId92" display="https://www.cian.ru/sale/commercial/330957758/?mlSearchSessionGuid=b132bea00d2adfdcf32c0349d93bd4fe"/>
    <hyperlink ref="A93" r:id="rId93" display="https://www.cian.ru/sale/commercial/334272389/?mlSearchSessionGuid=3ac2b91ec48fa48ad74ab198ec843006"/>
    <hyperlink ref="A94" r:id="rId94" display="https://www.cian.ru/sale/commercial/330461942/?mlSearchSessionGuid=b132bea00d2adfdcf32c0349d93bd4fe"/>
    <hyperlink ref="A95" r:id="rId95" display="https://www.cian.ru/sale/commercial/323417541/?mlSearchSessionGuid=b132bea00d2adfdcf32c0349d93bd4fe"/>
    <hyperlink ref="A96" r:id="rId96" display="https://www.cian.ru/sale/commercial/331105707/?mlSearchSessionGuid=b132bea00d2adfdcf32c0349d93bd4fe"/>
    <hyperlink ref="A97" r:id="rId97" display="https://www.cian.ru/sale/commercial/333226111/?mlSearchSessionGuid=b132bea00d2adfdcf32c0349d93bd4fe"/>
    <hyperlink ref="A98" r:id="rId98" display="https://www.cian.ru/sale/commercial/331392300/?mlSearchSessionGuid=b132bea00d2adfdcf32c0349d93bd4fe"/>
    <hyperlink ref="A99" r:id="rId99" display="https://www.cian.ru/sale/commercial/332499585/?mlSearchSessionGuid=b132bea00d2adfdcf32c0349d93bd4fe"/>
    <hyperlink ref="A100" r:id="rId100" display="https://www.cian.ru/sale/commercial/331803538/?mlSearchSessionGuid=b132bea00d2adfdcf32c0349d93bd4fe"/>
    <hyperlink ref="A101" r:id="rId101" display="https://www.cian.ru/sale/commercial/331277069/?mlSearchSessionGuid=b132bea00d2adfdcf32c0349d93bd4fe"/>
    <hyperlink ref="A102" r:id="rId102" display="https://www.cian.ru/sale/commercial/317448280/?mlSearchSessionGuid=b132bea00d2adfdcf32c0349d93bd4fe"/>
    <hyperlink ref="A103" r:id="rId103" display="https://www.cian.ru/sale/commercial/330461969/?mlSearchSessionGuid=3ac2b91ec48fa48ad74ab198ec843006"/>
    <hyperlink ref="A104" r:id="rId104" display="https://www.cian.ru/sale/commercial/326985733/?mlSearchSessionGuid=b132bea00d2adfdcf32c0349d93bd4fe"/>
    <hyperlink ref="A105" r:id="rId105" display="https://www.cian.ru/sale/commercial/334830734/?mlSearchSessionGuid=b132bea00d2adfdcf32c0349d93bd4fe"/>
    <hyperlink ref="A106" r:id="rId106" display="https://www.cian.ru/sale/commercial/327950383/?mlSearchSessionGuid=b132bea00d2adfdcf32c0349d93bd4fe"/>
    <hyperlink ref="A107" r:id="rId107" display="https://www.cian.ru/sale/commercial/335073449/?mlSearchSessionGuid=b132bea00d2adfdcf32c0349d93bd4fe"/>
    <hyperlink ref="A108" r:id="rId108" display="https://www.cian.ru/sale/commercial/331277048/?mlSearchSessionGuid=b132bea00d2adfdcf32c0349d93bd4fe"/>
    <hyperlink ref="A109" r:id="rId109" display="https://www.cian.ru/sale/commercial/331159058/?mlSearchSessionGuid=b132bea00d2adfdcf32c0349d93bd4fe"/>
    <hyperlink ref="A110" r:id="rId110" display="https://www.cian.ru/sale/commercial/321649738/?mlSearchSessionGuid=3ac2b91ec48fa48ad74ab198ec843006"/>
    <hyperlink ref="A111" r:id="rId111" display="https://www.cian.ru/sale/commercial/326581775/?mlSearchSessionGuid=b132bea00d2adfdcf32c0349d93bd4fe"/>
    <hyperlink ref="A112" r:id="rId112" display="https://www.cian.ru/sale/commercial/334611337/?mlSearchSessionGuid=b132bea00d2adfdcf32c0349d93bd4fe"/>
    <hyperlink ref="A113" r:id="rId113" display="https://www.cian.ru/sale/commercial/333797467/?mlSearchSessionGuid=3ac2b91ec48fa48ad74ab198ec843006"/>
    <hyperlink ref="A114" r:id="rId114" display="https://www.cian.ru/sale/commercial/331159078/?mlSearchSessionGuid=b132bea00d2adfdcf32c0349d93bd4fe"/>
    <hyperlink ref="A115" r:id="rId115" display="https://www.cian.ru/sale/commercial/334842817/?mlSearchSessionGuid=b132bea00d2adfdcf32c0349d93bd4fe"/>
    <hyperlink ref="A116" r:id="rId116" display="https://www.cian.ru/sale/commercial/329660360/?mlSearchSessionGuid=b132bea00d2adfdcf32c0349d93bd4f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7"/>
  <legacyDrawing r:id="rId1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4"/>
    <col collapsed="false" customWidth="true" hidden="false" outlineLevel="0" max="4" min="4" style="0" width="8"/>
    <col collapsed="false" customWidth="true" hidden="false" outlineLevel="0" max="7" min="5" style="0" width="9"/>
    <col collapsed="false" customWidth="true" hidden="false" outlineLevel="0" max="8" min="8" style="0" width="80"/>
  </cols>
  <sheetData>
    <row r="1" customFormat="false" ht="39.75" hidden="false" customHeight="true" outlineLevel="0" collapsed="false">
      <c r="A1" s="14" t="s">
        <v>46</v>
      </c>
      <c r="B1" s="14" t="s">
        <v>47</v>
      </c>
      <c r="C1" s="14" t="s">
        <v>48</v>
      </c>
      <c r="D1" s="14" t="s">
        <v>49</v>
      </c>
      <c r="E1" s="14" t="s">
        <v>52</v>
      </c>
      <c r="F1" s="14" t="s">
        <v>53</v>
      </c>
      <c r="G1" s="14" t="s">
        <v>57</v>
      </c>
      <c r="H1" s="14" t="s">
        <v>60</v>
      </c>
    </row>
    <row r="2" customFormat="false" ht="64.15" hidden="false" customHeight="false" outlineLevel="0" collapsed="false">
      <c r="A2" s="15" t="n">
        <v>331348350</v>
      </c>
      <c r="B2" s="16" t="s">
        <v>102</v>
      </c>
      <c r="C2" s="16" t="s">
        <v>62</v>
      </c>
      <c r="D2" s="16" t="n">
        <v>0.22</v>
      </c>
      <c r="E2" s="16" t="n">
        <v>6647.6</v>
      </c>
      <c r="F2" s="16" t="n">
        <v>1300</v>
      </c>
      <c r="G2" s="16" t="n">
        <v>9</v>
      </c>
      <c r="H2" s="16" t="s">
        <v>305</v>
      </c>
    </row>
    <row r="3" customFormat="false" ht="64.15" hidden="false" customHeight="false" outlineLevel="0" collapsed="false">
      <c r="A3" s="15" t="n">
        <v>309295063</v>
      </c>
      <c r="B3" s="16" t="s">
        <v>306</v>
      </c>
      <c r="C3" s="16" t="s">
        <v>62</v>
      </c>
      <c r="D3" s="16" t="n">
        <v>0.54</v>
      </c>
      <c r="E3" s="16" t="n">
        <v>13.2</v>
      </c>
      <c r="F3" s="16" t="n">
        <v>23.1</v>
      </c>
      <c r="G3" s="16" t="n">
        <v>9.1</v>
      </c>
      <c r="H3" s="16" t="s">
        <v>307</v>
      </c>
    </row>
    <row r="4" customFormat="false" ht="64.15" hidden="false" customHeight="false" outlineLevel="0" collapsed="false">
      <c r="A4" s="15" t="n">
        <v>328722410</v>
      </c>
      <c r="B4" s="16" t="s">
        <v>108</v>
      </c>
      <c r="C4" s="16" t="s">
        <v>62</v>
      </c>
      <c r="D4" s="16" t="n">
        <v>0.6</v>
      </c>
      <c r="E4" s="16" t="n">
        <v>138.4</v>
      </c>
      <c r="F4" s="16" t="n">
        <v>74.1</v>
      </c>
      <c r="G4" s="16" t="n">
        <v>4.3</v>
      </c>
      <c r="H4" s="16" t="s">
        <v>308</v>
      </c>
    </row>
    <row r="5" customFormat="false" ht="64.15" hidden="false" customHeight="false" outlineLevel="0" collapsed="false">
      <c r="A5" s="15" t="n">
        <v>332617461</v>
      </c>
      <c r="B5" s="16" t="s">
        <v>120</v>
      </c>
      <c r="C5" s="16" t="s">
        <v>62</v>
      </c>
      <c r="D5" s="16" t="n">
        <v>1.05</v>
      </c>
      <c r="E5" s="16" t="n">
        <v>658</v>
      </c>
      <c r="F5" s="16" t="n">
        <v>145</v>
      </c>
      <c r="G5" s="16" t="n">
        <v>5</v>
      </c>
      <c r="H5" s="16" t="s">
        <v>309</v>
      </c>
    </row>
    <row r="6" customFormat="false" ht="64.15" hidden="false" customHeight="false" outlineLevel="0" collapsed="false">
      <c r="A6" s="15" t="n">
        <v>334521519</v>
      </c>
      <c r="B6" s="16" t="s">
        <v>106</v>
      </c>
      <c r="C6" s="16" t="s">
        <v>62</v>
      </c>
      <c r="D6" s="16" t="n">
        <v>1.12</v>
      </c>
      <c r="E6" s="16" t="n">
        <v>657.2</v>
      </c>
      <c r="F6" s="16" t="n">
        <v>160</v>
      </c>
      <c r="G6" s="16" t="n">
        <v>10.5</v>
      </c>
      <c r="H6" s="16" t="s">
        <v>310</v>
      </c>
    </row>
    <row r="7" customFormat="false" ht="64.15" hidden="false" customHeight="false" outlineLevel="0" collapsed="false">
      <c r="A7" s="15" t="n">
        <v>323203435</v>
      </c>
      <c r="B7" s="16" t="s">
        <v>122</v>
      </c>
      <c r="C7" s="16" t="s">
        <v>62</v>
      </c>
      <c r="D7" s="16" t="n">
        <v>1.14</v>
      </c>
      <c r="E7" s="16" t="n">
        <v>3311</v>
      </c>
      <c r="F7" s="16" t="n">
        <v>520</v>
      </c>
      <c r="G7" s="16" t="n">
        <v>8.8</v>
      </c>
      <c r="H7" s="16" t="s">
        <v>311</v>
      </c>
    </row>
    <row r="8" customFormat="false" ht="64.15" hidden="false" customHeight="false" outlineLevel="0" collapsed="false">
      <c r="A8" s="15" t="n">
        <v>331199745</v>
      </c>
      <c r="B8" s="16" t="s">
        <v>127</v>
      </c>
      <c r="C8" s="16" t="s">
        <v>81</v>
      </c>
      <c r="D8" s="16" t="n">
        <v>1.34</v>
      </c>
      <c r="E8" s="16" t="n">
        <v>626.6</v>
      </c>
      <c r="F8" s="16" t="n">
        <v>135</v>
      </c>
      <c r="G8" s="16" t="n">
        <v>16.3</v>
      </c>
      <c r="H8" s="16" t="s">
        <v>312</v>
      </c>
    </row>
    <row r="9" customFormat="false" ht="64.15" hidden="false" customHeight="false" outlineLevel="0" collapsed="false">
      <c r="A9" s="15" t="n">
        <v>331333275</v>
      </c>
      <c r="B9" s="16" t="s">
        <v>127</v>
      </c>
      <c r="C9" s="16" t="s">
        <v>81</v>
      </c>
      <c r="D9" s="16" t="n">
        <v>1.34</v>
      </c>
      <c r="E9" s="16" t="n">
        <v>41</v>
      </c>
      <c r="F9" s="16" t="n">
        <v>18</v>
      </c>
      <c r="G9" s="16" t="n">
        <v>10.8</v>
      </c>
      <c r="H9" s="16" t="s">
        <v>313</v>
      </c>
    </row>
    <row r="10" customFormat="false" ht="64.15" hidden="false" customHeight="false" outlineLevel="0" collapsed="false">
      <c r="A10" s="15" t="n">
        <v>333562430</v>
      </c>
      <c r="B10" s="16" t="s">
        <v>314</v>
      </c>
      <c r="C10" s="16" t="s">
        <v>81</v>
      </c>
      <c r="D10" s="16" t="n">
        <v>1.4</v>
      </c>
      <c r="E10" s="16" t="n">
        <v>24.4</v>
      </c>
      <c r="F10" s="16" t="n">
        <v>11.4</v>
      </c>
      <c r="G10" s="16" t="n">
        <v>11.5</v>
      </c>
      <c r="H10" s="16" t="s">
        <v>315</v>
      </c>
    </row>
    <row r="11" customFormat="false" ht="64.15" hidden="false" customHeight="false" outlineLevel="0" collapsed="false">
      <c r="A11" s="15" t="n">
        <v>333565724</v>
      </c>
      <c r="B11" s="16" t="s">
        <v>314</v>
      </c>
      <c r="C11" s="16" t="s">
        <v>81</v>
      </c>
      <c r="D11" s="16" t="n">
        <v>1.4</v>
      </c>
      <c r="E11" s="16" t="n">
        <v>18.8</v>
      </c>
      <c r="F11" s="16" t="n">
        <v>8.4</v>
      </c>
      <c r="G11" s="16" t="n">
        <v>11.5</v>
      </c>
      <c r="H11" s="16" t="s">
        <v>316</v>
      </c>
    </row>
    <row r="12" customFormat="false" ht="15" hidden="false" customHeight="false" outlineLevel="0" collapsed="false">
      <c r="A12" s="15" t="n">
        <v>331510990</v>
      </c>
      <c r="B12" s="16" t="s">
        <v>314</v>
      </c>
      <c r="C12" s="16" t="s">
        <v>81</v>
      </c>
      <c r="D12" s="16" t="n">
        <v>1.4</v>
      </c>
      <c r="E12" s="16" t="n">
        <v>17</v>
      </c>
      <c r="F12" s="16" t="n">
        <v>7.7</v>
      </c>
      <c r="G12" s="16" t="n">
        <v>12.1</v>
      </c>
      <c r="H12" s="16" t="s">
        <v>317</v>
      </c>
    </row>
    <row r="13" customFormat="false" ht="64.15" hidden="false" customHeight="false" outlineLevel="0" collapsed="false">
      <c r="A13" s="15" t="n">
        <v>333534160</v>
      </c>
      <c r="B13" s="16" t="s">
        <v>314</v>
      </c>
      <c r="C13" s="16" t="s">
        <v>81</v>
      </c>
      <c r="D13" s="16" t="n">
        <v>1.4</v>
      </c>
      <c r="E13" s="16" t="n">
        <v>35.1</v>
      </c>
      <c r="F13" s="16" t="n">
        <v>15.8</v>
      </c>
      <c r="G13" s="16" t="n">
        <v>11.5</v>
      </c>
      <c r="H13" s="16" t="s">
        <v>318</v>
      </c>
    </row>
    <row r="14" customFormat="false" ht="64.15" hidden="false" customHeight="false" outlineLevel="0" collapsed="false">
      <c r="A14" s="15" t="n">
        <v>325104148</v>
      </c>
      <c r="B14" s="16" t="s">
        <v>314</v>
      </c>
      <c r="C14" s="16" t="s">
        <v>81</v>
      </c>
      <c r="D14" s="16" t="n">
        <v>1.4</v>
      </c>
      <c r="E14" s="16" t="n">
        <v>48.7</v>
      </c>
      <c r="F14" s="16" t="n">
        <v>11.4</v>
      </c>
      <c r="G14" s="16" t="n">
        <v>10</v>
      </c>
      <c r="H14" s="16" t="s">
        <v>319</v>
      </c>
    </row>
    <row r="15" customFormat="false" ht="64.15" hidden="false" customHeight="false" outlineLevel="0" collapsed="false">
      <c r="A15" s="15" t="n">
        <v>329911898</v>
      </c>
      <c r="B15" s="16" t="s">
        <v>314</v>
      </c>
      <c r="C15" s="16" t="s">
        <v>81</v>
      </c>
      <c r="D15" s="16" t="n">
        <v>1.4</v>
      </c>
      <c r="E15" s="16" t="n">
        <v>17.7</v>
      </c>
      <c r="F15" s="16" t="n">
        <v>8.4</v>
      </c>
      <c r="G15" s="16" t="n">
        <v>10.1</v>
      </c>
      <c r="H15" s="16" t="s">
        <v>320</v>
      </c>
    </row>
    <row r="16" customFormat="false" ht="64.15" hidden="false" customHeight="false" outlineLevel="0" collapsed="false">
      <c r="A16" s="15" t="n">
        <v>331591392</v>
      </c>
      <c r="B16" s="16" t="s">
        <v>314</v>
      </c>
      <c r="C16" s="16" t="s">
        <v>81</v>
      </c>
      <c r="D16" s="16" t="n">
        <v>1.4</v>
      </c>
      <c r="E16" s="16" t="n">
        <v>15.9</v>
      </c>
      <c r="F16" s="16" t="n">
        <v>7.2</v>
      </c>
      <c r="G16" s="16" t="n">
        <v>12.1</v>
      </c>
      <c r="H16" s="16" t="s">
        <v>321</v>
      </c>
    </row>
    <row r="17" customFormat="false" ht="64.15" hidden="false" customHeight="false" outlineLevel="0" collapsed="false">
      <c r="A17" s="15" t="n">
        <v>332617504</v>
      </c>
      <c r="B17" s="16" t="s">
        <v>322</v>
      </c>
      <c r="C17" s="16" t="s">
        <v>81</v>
      </c>
      <c r="D17" s="16" t="n">
        <v>1.51</v>
      </c>
      <c r="E17" s="16" t="n">
        <v>241.8</v>
      </c>
      <c r="F17" s="16" t="n">
        <v>170</v>
      </c>
      <c r="G17" s="16" t="n">
        <v>5.9</v>
      </c>
      <c r="H17" s="16" t="s">
        <v>323</v>
      </c>
    </row>
    <row r="18" customFormat="false" ht="64.15" hidden="false" customHeight="false" outlineLevel="0" collapsed="false">
      <c r="A18" s="15" t="n">
        <v>331580718</v>
      </c>
      <c r="B18" s="16" t="s">
        <v>104</v>
      </c>
      <c r="C18" s="16" t="s">
        <v>96</v>
      </c>
      <c r="D18" s="16" t="n">
        <v>1.6</v>
      </c>
      <c r="E18" s="16" t="n">
        <v>3952.6</v>
      </c>
      <c r="F18" s="16" t="n">
        <v>1140</v>
      </c>
      <c r="G18" s="16" t="n">
        <v>10</v>
      </c>
      <c r="H18" s="16" t="s">
        <v>324</v>
      </c>
    </row>
    <row r="19" customFormat="false" ht="64.15" hidden="false" customHeight="false" outlineLevel="0" collapsed="false">
      <c r="A19" s="15" t="n">
        <v>332893709</v>
      </c>
      <c r="B19" s="16" t="s">
        <v>325</v>
      </c>
      <c r="C19" s="16" t="s">
        <v>81</v>
      </c>
      <c r="D19" s="16" t="n">
        <v>1.61</v>
      </c>
      <c r="E19" s="16" t="n">
        <v>149.7</v>
      </c>
      <c r="F19" s="16" t="n">
        <v>43</v>
      </c>
      <c r="G19" s="16" t="n">
        <v>8.4</v>
      </c>
      <c r="H19" s="16" t="s">
        <v>326</v>
      </c>
    </row>
    <row r="20" customFormat="false" ht="64.15" hidden="false" customHeight="false" outlineLevel="0" collapsed="false">
      <c r="A20" s="15" t="n">
        <v>323025236</v>
      </c>
      <c r="B20" s="16" t="s">
        <v>159</v>
      </c>
      <c r="C20" s="16" t="s">
        <v>73</v>
      </c>
      <c r="D20" s="16" t="n">
        <v>2.2</v>
      </c>
      <c r="E20" s="16" t="n">
        <v>513.3</v>
      </c>
      <c r="F20" s="16" t="n">
        <v>250</v>
      </c>
      <c r="G20" s="16" t="n">
        <v>10</v>
      </c>
      <c r="H20" s="16" t="s">
        <v>327</v>
      </c>
    </row>
    <row r="21" customFormat="false" ht="64.15" hidden="false" customHeight="false" outlineLevel="0" collapsed="false">
      <c r="A21" s="15" t="n">
        <v>332617259</v>
      </c>
      <c r="B21" s="16" t="s">
        <v>168</v>
      </c>
      <c r="C21" s="16" t="s">
        <v>89</v>
      </c>
      <c r="D21" s="16" t="n">
        <v>2.34</v>
      </c>
      <c r="E21" s="16" t="n">
        <v>280</v>
      </c>
      <c r="F21" s="16" t="n">
        <v>69.3</v>
      </c>
      <c r="G21" s="16" t="n">
        <v>11.3</v>
      </c>
      <c r="H21" s="16" t="s">
        <v>328</v>
      </c>
    </row>
    <row r="22" customFormat="false" ht="64.15" hidden="false" customHeight="false" outlineLevel="0" collapsed="false">
      <c r="A22" s="15" t="n">
        <v>327893414</v>
      </c>
      <c r="B22" s="16" t="s">
        <v>178</v>
      </c>
      <c r="C22" s="16" t="s">
        <v>96</v>
      </c>
      <c r="D22" s="16" t="n">
        <v>2.44</v>
      </c>
      <c r="E22" s="16" t="n">
        <v>2586</v>
      </c>
      <c r="F22" s="16" t="n">
        <v>470</v>
      </c>
      <c r="G22" s="16" t="n">
        <v>11.1</v>
      </c>
      <c r="H22" s="16" t="s">
        <v>329</v>
      </c>
    </row>
    <row r="23" customFormat="false" ht="64.15" hidden="false" customHeight="false" outlineLevel="0" collapsed="false">
      <c r="A23" s="15" t="n">
        <v>331277080</v>
      </c>
      <c r="B23" s="16" t="s">
        <v>200</v>
      </c>
      <c r="C23" s="16" t="s">
        <v>81</v>
      </c>
      <c r="D23" s="16" t="n">
        <v>2.55</v>
      </c>
      <c r="E23" s="16" t="n">
        <v>304.9</v>
      </c>
      <c r="F23" s="16" t="n">
        <v>180</v>
      </c>
      <c r="G23" s="16" t="n">
        <v>8</v>
      </c>
      <c r="H23" s="16" t="s">
        <v>330</v>
      </c>
    </row>
    <row r="24" customFormat="false" ht="64.15" hidden="false" customHeight="false" outlineLevel="0" collapsed="false">
      <c r="A24" s="15" t="n">
        <v>331277042</v>
      </c>
      <c r="B24" s="16" t="s">
        <v>208</v>
      </c>
      <c r="C24" s="16" t="s">
        <v>73</v>
      </c>
      <c r="D24" s="16" t="n">
        <v>2.62</v>
      </c>
      <c r="E24" s="16" t="n">
        <v>6205.5</v>
      </c>
      <c r="F24" s="16" t="n">
        <v>3102.8</v>
      </c>
      <c r="G24" s="16" t="n">
        <v>8</v>
      </c>
      <c r="H24" s="16" t="s">
        <v>331</v>
      </c>
    </row>
    <row r="25" customFormat="false" ht="64.15" hidden="false" customHeight="false" outlineLevel="0" collapsed="false">
      <c r="A25" s="15" t="n">
        <v>333534161</v>
      </c>
      <c r="B25" s="16" t="s">
        <v>332</v>
      </c>
      <c r="C25" s="16" t="s">
        <v>81</v>
      </c>
      <c r="D25" s="16" t="n">
        <v>3.04</v>
      </c>
      <c r="E25" s="16" t="n">
        <v>19.5</v>
      </c>
      <c r="F25" s="16" t="n">
        <v>14.8</v>
      </c>
      <c r="G25" s="16" t="n">
        <v>8.9</v>
      </c>
      <c r="H25" s="16" t="s">
        <v>333</v>
      </c>
    </row>
    <row r="26" customFormat="false" ht="32.8" hidden="false" customHeight="false" outlineLevel="0" collapsed="false">
      <c r="A26" s="15" t="n">
        <v>333223182</v>
      </c>
      <c r="B26" s="16" t="s">
        <v>334</v>
      </c>
      <c r="C26" s="16" t="s">
        <v>81</v>
      </c>
      <c r="D26" s="16" t="n">
        <v>3.06</v>
      </c>
      <c r="E26" s="16" t="n">
        <v>20.5</v>
      </c>
      <c r="F26" s="16" t="n">
        <v>15.5</v>
      </c>
      <c r="G26" s="16" t="n">
        <v>8.8</v>
      </c>
      <c r="H26" s="16" t="s">
        <v>335</v>
      </c>
    </row>
    <row r="27" customFormat="false" ht="64.15" hidden="false" customHeight="false" outlineLevel="0" collapsed="false">
      <c r="A27" s="15" t="n">
        <v>331105707</v>
      </c>
      <c r="B27" s="16" t="s">
        <v>261</v>
      </c>
      <c r="C27" s="16" t="s">
        <v>225</v>
      </c>
      <c r="D27" s="16" t="n">
        <v>3.11</v>
      </c>
      <c r="E27" s="16" t="n">
        <v>7290.5</v>
      </c>
      <c r="F27" s="16" t="n">
        <v>1200</v>
      </c>
      <c r="G27" s="16" t="n">
        <v>11</v>
      </c>
      <c r="H27" s="16" t="s">
        <v>336</v>
      </c>
    </row>
    <row r="28" customFormat="false" ht="64.15" hidden="false" customHeight="false" outlineLevel="0" collapsed="false">
      <c r="A28" s="15" t="n">
        <v>333226983</v>
      </c>
      <c r="B28" s="16" t="s">
        <v>261</v>
      </c>
      <c r="C28" s="16" t="s">
        <v>225</v>
      </c>
      <c r="D28" s="16" t="n">
        <v>3.11</v>
      </c>
      <c r="E28" s="16" t="n">
        <v>8777.8</v>
      </c>
      <c r="F28" s="16" t="n">
        <v>1500</v>
      </c>
      <c r="G28" s="16" t="n">
        <v>11</v>
      </c>
      <c r="H28" s="16" t="s">
        <v>337</v>
      </c>
    </row>
    <row r="29" customFormat="false" ht="64.15" hidden="false" customHeight="false" outlineLevel="0" collapsed="false">
      <c r="A29" s="15" t="n">
        <v>324037206</v>
      </c>
      <c r="B29" s="16" t="s">
        <v>338</v>
      </c>
      <c r="C29" s="16" t="s">
        <v>289</v>
      </c>
      <c r="D29" s="16" t="n">
        <v>3.13</v>
      </c>
      <c r="E29" s="16" t="n">
        <v>231.4</v>
      </c>
      <c r="F29" s="16" t="n">
        <v>49.5</v>
      </c>
      <c r="G29" s="16" t="n">
        <v>7.3</v>
      </c>
      <c r="H29" s="16" t="s">
        <v>339</v>
      </c>
    </row>
    <row r="30" customFormat="false" ht="64.15" hidden="false" customHeight="false" outlineLevel="0" collapsed="false">
      <c r="A30" s="15" t="n">
        <v>316374398</v>
      </c>
      <c r="B30" s="16" t="s">
        <v>340</v>
      </c>
      <c r="C30" s="16" t="s">
        <v>81</v>
      </c>
      <c r="D30" s="16" t="n">
        <v>3.45</v>
      </c>
      <c r="E30" s="16" t="n">
        <v>82</v>
      </c>
      <c r="F30" s="16" t="n">
        <v>55</v>
      </c>
      <c r="G30" s="16" t="n">
        <v>7.6</v>
      </c>
      <c r="H30" s="16" t="s">
        <v>341</v>
      </c>
    </row>
    <row r="31" customFormat="false" ht="64.15" hidden="false" customHeight="false" outlineLevel="0" collapsed="false">
      <c r="A31" s="15" t="n">
        <v>321649738</v>
      </c>
      <c r="B31" s="16" t="s">
        <v>288</v>
      </c>
      <c r="C31" s="16" t="s">
        <v>289</v>
      </c>
      <c r="D31" s="16" t="n">
        <v>3.49</v>
      </c>
      <c r="E31" s="16" t="n">
        <v>515.7</v>
      </c>
      <c r="F31" s="16" t="n">
        <v>120</v>
      </c>
      <c r="G31" s="16" t="n">
        <v>10.3</v>
      </c>
      <c r="H31" s="16" t="s">
        <v>342</v>
      </c>
    </row>
    <row r="32" customFormat="false" ht="64.15" hidden="false" customHeight="false" outlineLevel="0" collapsed="false">
      <c r="A32" s="15" t="n">
        <v>334611337</v>
      </c>
      <c r="B32" s="16" t="s">
        <v>294</v>
      </c>
      <c r="C32" s="16" t="s">
        <v>73</v>
      </c>
      <c r="D32" s="16" t="n">
        <v>3.5</v>
      </c>
      <c r="E32" s="16" t="n">
        <v>358.2</v>
      </c>
      <c r="F32" s="16" t="n">
        <v>63</v>
      </c>
      <c r="G32" s="16" t="n">
        <v>15.1</v>
      </c>
      <c r="H32" s="16" t="s">
        <v>343</v>
      </c>
    </row>
    <row r="33" customFormat="false" ht="64.15" hidden="false" customHeight="false" outlineLevel="0" collapsed="false">
      <c r="A33" s="15" t="n">
        <v>331277109</v>
      </c>
      <c r="B33" s="16" t="s">
        <v>303</v>
      </c>
      <c r="C33" s="16" t="s">
        <v>96</v>
      </c>
      <c r="D33" s="16" t="n">
        <v>3.58</v>
      </c>
      <c r="E33" s="16" t="n">
        <v>1214.3</v>
      </c>
      <c r="F33" s="16" t="n">
        <v>217</v>
      </c>
      <c r="G33" s="16" t="n">
        <v>10</v>
      </c>
      <c r="H33" s="16" t="s">
        <v>344</v>
      </c>
    </row>
    <row r="34" customFormat="false" ht="64.15" hidden="false" customHeight="false" outlineLevel="0" collapsed="false">
      <c r="A34" s="15" t="n">
        <v>331110253</v>
      </c>
      <c r="B34" s="16" t="s">
        <v>345</v>
      </c>
      <c r="C34" s="16" t="s">
        <v>206</v>
      </c>
      <c r="D34" s="16" t="n">
        <v>3.78</v>
      </c>
      <c r="E34" s="16" t="n">
        <v>2318</v>
      </c>
      <c r="F34" s="16" t="n">
        <v>300</v>
      </c>
      <c r="G34" s="16" t="n">
        <v>14</v>
      </c>
      <c r="H34" s="16" t="s">
        <v>346</v>
      </c>
    </row>
    <row r="35" customFormat="false" ht="64.15" hidden="false" customHeight="false" outlineLevel="0" collapsed="false">
      <c r="A35" s="15" t="n">
        <v>333534159</v>
      </c>
      <c r="B35" s="16" t="s">
        <v>347</v>
      </c>
      <c r="C35" s="16" t="s">
        <v>81</v>
      </c>
      <c r="D35" s="16" t="n">
        <v>3.8</v>
      </c>
      <c r="E35" s="16" t="n">
        <v>189</v>
      </c>
      <c r="F35" s="16" t="n">
        <v>60</v>
      </c>
      <c r="G35" s="16" t="n">
        <v>7.4</v>
      </c>
      <c r="H35" s="16" t="s">
        <v>348</v>
      </c>
    </row>
    <row r="36" customFormat="false" ht="64.15" hidden="false" customHeight="false" outlineLevel="0" collapsed="false">
      <c r="A36" s="15" t="n">
        <v>328912113</v>
      </c>
      <c r="B36" s="16" t="s">
        <v>347</v>
      </c>
      <c r="C36" s="16" t="s">
        <v>81</v>
      </c>
      <c r="D36" s="16" t="n">
        <v>3.8</v>
      </c>
      <c r="E36" s="16" t="n">
        <v>181.9</v>
      </c>
      <c r="F36" s="16" t="n">
        <v>60</v>
      </c>
      <c r="G36" s="16" t="n">
        <v>7.4</v>
      </c>
      <c r="H36" s="16" t="s">
        <v>349</v>
      </c>
    </row>
    <row r="37" customFormat="false" ht="64.15" hidden="false" customHeight="false" outlineLevel="0" collapsed="false">
      <c r="A37" s="15" t="n">
        <v>333077189</v>
      </c>
      <c r="B37" s="16" t="s">
        <v>350</v>
      </c>
      <c r="C37" s="16" t="s">
        <v>73</v>
      </c>
      <c r="D37" s="16" t="n">
        <v>4.08</v>
      </c>
      <c r="E37" s="16" t="n">
        <v>1005.4</v>
      </c>
      <c r="F37" s="16" t="n">
        <v>250</v>
      </c>
      <c r="G37" s="16" t="n">
        <v>12.5</v>
      </c>
      <c r="H37" s="16" t="s">
        <v>351</v>
      </c>
    </row>
    <row r="38" customFormat="false" ht="64.15" hidden="false" customHeight="false" outlineLevel="0" collapsed="false">
      <c r="A38" s="15" t="n">
        <v>331765039</v>
      </c>
      <c r="B38" s="16" t="s">
        <v>352</v>
      </c>
      <c r="C38" s="16" t="s">
        <v>81</v>
      </c>
      <c r="D38" s="16" t="n">
        <v>4.18</v>
      </c>
      <c r="E38" s="16" t="n">
        <v>3299.8</v>
      </c>
      <c r="F38" s="16" t="n">
        <v>950</v>
      </c>
      <c r="G38" s="16" t="n">
        <v>4.5</v>
      </c>
      <c r="H38" s="16" t="s">
        <v>353</v>
      </c>
    </row>
    <row r="39" customFormat="false" ht="64.15" hidden="false" customHeight="false" outlineLevel="0" collapsed="false">
      <c r="A39" s="15" t="n">
        <v>331277121</v>
      </c>
      <c r="B39" s="16" t="s">
        <v>354</v>
      </c>
      <c r="C39" s="16" t="s">
        <v>73</v>
      </c>
      <c r="D39" s="16" t="n">
        <v>4.19</v>
      </c>
      <c r="E39" s="16" t="n">
        <v>199</v>
      </c>
      <c r="F39" s="16" t="n">
        <v>320</v>
      </c>
      <c r="G39" s="16" t="n">
        <v>5</v>
      </c>
      <c r="H39" s="16" t="s">
        <v>355</v>
      </c>
    </row>
    <row r="40" customFormat="false" ht="64.15" hidden="false" customHeight="false" outlineLevel="0" collapsed="false">
      <c r="A40" s="15" t="n">
        <v>332213336</v>
      </c>
      <c r="B40" s="16" t="s">
        <v>356</v>
      </c>
      <c r="C40" s="16" t="s">
        <v>289</v>
      </c>
      <c r="D40" s="16" t="n">
        <v>4.25</v>
      </c>
      <c r="E40" s="16" t="n">
        <v>300</v>
      </c>
      <c r="F40" s="16" t="n">
        <v>60</v>
      </c>
      <c r="G40" s="16" t="n">
        <v>11.8</v>
      </c>
      <c r="H40" s="16" t="s">
        <v>357</v>
      </c>
    </row>
    <row r="41" customFormat="false" ht="64.15" hidden="false" customHeight="false" outlineLevel="0" collapsed="false">
      <c r="A41" s="15" t="n">
        <v>321141559</v>
      </c>
      <c r="B41" s="16" t="s">
        <v>356</v>
      </c>
      <c r="C41" s="16" t="s">
        <v>289</v>
      </c>
      <c r="D41" s="16" t="n">
        <v>4.25</v>
      </c>
      <c r="E41" s="16" t="n">
        <v>298</v>
      </c>
      <c r="F41" s="16" t="n">
        <v>60</v>
      </c>
      <c r="G41" s="16" t="n">
        <v>11.8</v>
      </c>
      <c r="H41" s="16" t="s">
        <v>358</v>
      </c>
    </row>
    <row r="42" customFormat="false" ht="64.15" hidden="false" customHeight="false" outlineLevel="0" collapsed="false">
      <c r="A42" s="15" t="n">
        <v>332865724</v>
      </c>
      <c r="B42" s="16" t="s">
        <v>359</v>
      </c>
      <c r="C42" s="16" t="s">
        <v>289</v>
      </c>
      <c r="D42" s="16" t="n">
        <v>4.28</v>
      </c>
      <c r="E42" s="16" t="n">
        <v>110.9</v>
      </c>
      <c r="F42" s="16" t="n">
        <v>46</v>
      </c>
      <c r="G42" s="16" t="n">
        <v>7.2</v>
      </c>
      <c r="H42" s="16" t="s">
        <v>360</v>
      </c>
    </row>
    <row r="43" customFormat="false" ht="64.15" hidden="false" customHeight="false" outlineLevel="0" collapsed="false">
      <c r="A43" s="15" t="n">
        <v>333569588</v>
      </c>
      <c r="B43" s="16" t="s">
        <v>361</v>
      </c>
      <c r="C43" s="16" t="s">
        <v>289</v>
      </c>
      <c r="D43" s="16" t="n">
        <v>4.42</v>
      </c>
      <c r="E43" s="16" t="n">
        <v>163.5</v>
      </c>
      <c r="F43" s="16" t="n">
        <v>71.4</v>
      </c>
      <c r="G43" s="16" t="n">
        <v>8.2</v>
      </c>
      <c r="H43" s="16" t="s">
        <v>362</v>
      </c>
    </row>
    <row r="44" customFormat="false" ht="64.15" hidden="false" customHeight="false" outlineLevel="0" collapsed="false">
      <c r="A44" s="15" t="n">
        <v>331348338</v>
      </c>
      <c r="B44" s="16" t="s">
        <v>363</v>
      </c>
      <c r="C44" s="16" t="s">
        <v>364</v>
      </c>
      <c r="D44" s="16" t="n">
        <v>4.49</v>
      </c>
      <c r="E44" s="16" t="n">
        <v>2442.7</v>
      </c>
      <c r="F44" s="16" t="n">
        <v>520</v>
      </c>
      <c r="G44" s="16" t="n">
        <v>7</v>
      </c>
      <c r="H44" s="16" t="s">
        <v>365</v>
      </c>
    </row>
    <row r="45" customFormat="false" ht="64.15" hidden="false" customHeight="false" outlineLevel="0" collapsed="false">
      <c r="A45" s="15" t="n">
        <v>331277115</v>
      </c>
      <c r="B45" s="16" t="s">
        <v>366</v>
      </c>
      <c r="C45" s="16" t="s">
        <v>73</v>
      </c>
      <c r="D45" s="16" t="n">
        <v>4.58</v>
      </c>
      <c r="E45" s="16" t="n">
        <v>524</v>
      </c>
      <c r="F45" s="16" t="n">
        <v>262</v>
      </c>
      <c r="G45" s="16" t="n">
        <v>8</v>
      </c>
      <c r="H45" s="16" t="s">
        <v>367</v>
      </c>
    </row>
    <row r="46" customFormat="false" ht="64.15" hidden="false" customHeight="false" outlineLevel="0" collapsed="false">
      <c r="A46" s="15" t="n">
        <v>332604347</v>
      </c>
      <c r="B46" s="16" t="s">
        <v>368</v>
      </c>
      <c r="C46" s="16" t="s">
        <v>81</v>
      </c>
      <c r="D46" s="16" t="n">
        <v>4.59</v>
      </c>
      <c r="E46" s="16" t="n">
        <v>222.1</v>
      </c>
      <c r="F46" s="16" t="n">
        <v>200</v>
      </c>
      <c r="G46" s="16" t="n">
        <v>7.1</v>
      </c>
      <c r="H46" s="16" t="s">
        <v>369</v>
      </c>
    </row>
    <row r="47" customFormat="false" ht="64.15" hidden="false" customHeight="false" outlineLevel="0" collapsed="false">
      <c r="A47" s="15" t="n">
        <v>333584490</v>
      </c>
      <c r="B47" s="16" t="s">
        <v>370</v>
      </c>
      <c r="C47" s="16" t="s">
        <v>371</v>
      </c>
      <c r="D47" s="16" t="n">
        <v>4.73</v>
      </c>
      <c r="E47" s="16" t="n">
        <v>450</v>
      </c>
      <c r="F47" s="16" t="n">
        <v>250</v>
      </c>
      <c r="G47" s="16" t="n">
        <v>8.7</v>
      </c>
      <c r="H47" s="16" t="s">
        <v>372</v>
      </c>
    </row>
    <row r="48" customFormat="false" ht="64.15" hidden="false" customHeight="false" outlineLevel="0" collapsed="false">
      <c r="A48" s="15" t="n">
        <v>333570580</v>
      </c>
      <c r="B48" s="16" t="s">
        <v>373</v>
      </c>
      <c r="C48" s="16" t="s">
        <v>374</v>
      </c>
      <c r="D48" s="16" t="n">
        <v>5.23</v>
      </c>
      <c r="E48" s="16" t="n">
        <v>2018</v>
      </c>
      <c r="F48" s="16" t="n">
        <v>145</v>
      </c>
      <c r="G48" s="16" t="n">
        <v>16.7</v>
      </c>
      <c r="H48" s="16" t="s">
        <v>375</v>
      </c>
    </row>
    <row r="49" customFormat="false" ht="74.6" hidden="false" customHeight="false" outlineLevel="0" collapsed="false">
      <c r="A49" s="15" t="n">
        <v>331159088</v>
      </c>
      <c r="B49" s="16" t="s">
        <v>376</v>
      </c>
      <c r="C49" s="16" t="s">
        <v>364</v>
      </c>
      <c r="D49" s="16" t="n">
        <v>5.25</v>
      </c>
      <c r="E49" s="16" t="n">
        <v>2100</v>
      </c>
      <c r="F49" s="16" t="n">
        <v>1275</v>
      </c>
      <c r="G49" s="16" t="n">
        <v>13</v>
      </c>
      <c r="H49" s="16" t="s">
        <v>377</v>
      </c>
    </row>
    <row r="50" customFormat="false" ht="64.15" hidden="false" customHeight="false" outlineLevel="0" collapsed="false">
      <c r="A50" s="15" t="n">
        <v>331198250</v>
      </c>
      <c r="B50" s="16" t="s">
        <v>378</v>
      </c>
      <c r="C50" s="16" t="s">
        <v>371</v>
      </c>
      <c r="D50" s="16" t="n">
        <v>5.44</v>
      </c>
      <c r="E50" s="16" t="n">
        <v>13540</v>
      </c>
      <c r="F50" s="16" t="n">
        <v>1000</v>
      </c>
      <c r="G50" s="16" t="n">
        <v>15</v>
      </c>
      <c r="H50" s="16" t="s">
        <v>379</v>
      </c>
    </row>
    <row r="51" customFormat="false" ht="64.15" hidden="false" customHeight="false" outlineLevel="0" collapsed="false">
      <c r="A51" s="15" t="n">
        <v>331277058</v>
      </c>
      <c r="B51" s="16" t="s">
        <v>380</v>
      </c>
      <c r="C51" s="16" t="s">
        <v>381</v>
      </c>
      <c r="D51" s="16" t="n">
        <v>5.61</v>
      </c>
      <c r="E51" s="16" t="n">
        <v>869.4</v>
      </c>
      <c r="F51" s="16" t="n">
        <v>778</v>
      </c>
      <c r="G51" s="16" t="n">
        <v>6</v>
      </c>
      <c r="H51" s="16" t="s">
        <v>382</v>
      </c>
    </row>
    <row r="52" customFormat="false" ht="64.15" hidden="false" customHeight="false" outlineLevel="0" collapsed="false">
      <c r="A52" s="15" t="n">
        <v>331159063</v>
      </c>
      <c r="B52" s="16" t="s">
        <v>383</v>
      </c>
      <c r="C52" s="16" t="s">
        <v>384</v>
      </c>
      <c r="D52" s="16" t="n">
        <v>5.63</v>
      </c>
      <c r="E52" s="16" t="n">
        <v>7367.9</v>
      </c>
      <c r="F52" s="16" t="n">
        <v>750</v>
      </c>
      <c r="G52" s="16" t="n">
        <v>13</v>
      </c>
      <c r="H52" s="16" t="s">
        <v>385</v>
      </c>
    </row>
    <row r="53" customFormat="false" ht="64.15" hidden="false" customHeight="false" outlineLevel="0" collapsed="false">
      <c r="A53" s="15" t="n">
        <v>331315946</v>
      </c>
      <c r="B53" s="16" t="s">
        <v>386</v>
      </c>
      <c r="C53" s="16" t="s">
        <v>384</v>
      </c>
      <c r="D53" s="16" t="n">
        <v>5.64</v>
      </c>
      <c r="E53" s="16" t="n">
        <v>3063.5</v>
      </c>
      <c r="F53" s="16" t="n">
        <v>771.2</v>
      </c>
      <c r="G53" s="16" t="n">
        <v>10</v>
      </c>
      <c r="H53" s="16" t="s">
        <v>387</v>
      </c>
    </row>
    <row r="54" customFormat="false" ht="64.15" hidden="false" customHeight="false" outlineLevel="0" collapsed="false">
      <c r="A54" s="15" t="n">
        <v>331803535</v>
      </c>
      <c r="B54" s="16" t="s">
        <v>386</v>
      </c>
      <c r="C54" s="16" t="s">
        <v>384</v>
      </c>
      <c r="D54" s="16" t="n">
        <v>5.64</v>
      </c>
      <c r="E54" s="16" t="n">
        <v>4847.7</v>
      </c>
      <c r="F54" s="16" t="n">
        <v>969.5</v>
      </c>
      <c r="G54" s="16" t="n">
        <v>13</v>
      </c>
      <c r="H54" s="16" t="s">
        <v>388</v>
      </c>
    </row>
    <row r="55" customFormat="false" ht="64.15" hidden="false" customHeight="false" outlineLevel="0" collapsed="false">
      <c r="A55" s="15" t="n">
        <v>334118274</v>
      </c>
      <c r="B55" s="16" t="s">
        <v>389</v>
      </c>
      <c r="C55" s="16" t="s">
        <v>381</v>
      </c>
      <c r="D55" s="16" t="n">
        <v>5.64</v>
      </c>
      <c r="E55" s="16" t="n">
        <v>870</v>
      </c>
      <c r="F55" s="16" t="n">
        <v>778</v>
      </c>
      <c r="G55" s="16" t="n">
        <v>8.7</v>
      </c>
      <c r="H55" s="16" t="s">
        <v>390</v>
      </c>
    </row>
    <row r="56" customFormat="false" ht="64.15" hidden="false" customHeight="false" outlineLevel="0" collapsed="false">
      <c r="A56" s="15" t="n">
        <v>319990725</v>
      </c>
      <c r="B56" s="16" t="s">
        <v>391</v>
      </c>
      <c r="C56" s="16" t="s">
        <v>392</v>
      </c>
      <c r="D56" s="16" t="n">
        <v>5.7</v>
      </c>
      <c r="E56" s="16" t="n">
        <v>2542.4</v>
      </c>
      <c r="F56" s="16" t="n">
        <v>435</v>
      </c>
      <c r="G56" s="16" t="n">
        <v>14.3</v>
      </c>
      <c r="H56" s="16" t="s">
        <v>393</v>
      </c>
    </row>
    <row r="57" customFormat="false" ht="64.15" hidden="false" customHeight="false" outlineLevel="0" collapsed="false">
      <c r="A57" s="15" t="n">
        <v>331159130</v>
      </c>
      <c r="B57" s="16" t="s">
        <v>394</v>
      </c>
      <c r="C57" s="16" t="s">
        <v>371</v>
      </c>
      <c r="D57" s="16" t="n">
        <v>5.78</v>
      </c>
      <c r="E57" s="16" t="n">
        <v>4350</v>
      </c>
      <c r="F57" s="16" t="n">
        <v>1041</v>
      </c>
      <c r="G57" s="16" t="n">
        <v>13</v>
      </c>
      <c r="H57" s="16" t="s">
        <v>395</v>
      </c>
    </row>
    <row r="58" customFormat="false" ht="64.15" hidden="false" customHeight="false" outlineLevel="0" collapsed="false">
      <c r="A58" s="15" t="n">
        <v>333550683</v>
      </c>
      <c r="B58" s="16" t="s">
        <v>396</v>
      </c>
      <c r="C58" s="16" t="s">
        <v>384</v>
      </c>
      <c r="D58" s="16" t="n">
        <v>5.78</v>
      </c>
      <c r="E58" s="16" t="n">
        <v>2440</v>
      </c>
      <c r="F58" s="16" t="n">
        <v>579.4</v>
      </c>
      <c r="G58" s="16" t="n">
        <v>11</v>
      </c>
      <c r="H58" s="16" t="s">
        <v>397</v>
      </c>
    </row>
    <row r="59" customFormat="false" ht="64.15" hidden="false" customHeight="false" outlineLevel="0" collapsed="false">
      <c r="A59" s="15" t="n">
        <v>331129062</v>
      </c>
      <c r="B59" s="16" t="s">
        <v>398</v>
      </c>
      <c r="C59" s="16" t="s">
        <v>381</v>
      </c>
      <c r="D59" s="16" t="n">
        <v>5.87</v>
      </c>
      <c r="E59" s="16" t="n">
        <v>3085.9</v>
      </c>
      <c r="F59" s="16" t="n">
        <v>2160.1</v>
      </c>
      <c r="G59" s="16" t="n">
        <v>4</v>
      </c>
      <c r="H59" s="16" t="s">
        <v>399</v>
      </c>
    </row>
    <row r="60" customFormat="false" ht="64.15" hidden="false" customHeight="false" outlineLevel="0" collapsed="false">
      <c r="A60" s="15" t="n">
        <v>331358742</v>
      </c>
      <c r="B60" s="16" t="s">
        <v>400</v>
      </c>
      <c r="C60" s="16" t="s">
        <v>364</v>
      </c>
      <c r="D60" s="16" t="n">
        <v>5.9</v>
      </c>
      <c r="E60" s="16" t="n">
        <v>3306.1</v>
      </c>
      <c r="F60" s="16" t="n">
        <v>550</v>
      </c>
      <c r="G60" s="16" t="n">
        <v>10</v>
      </c>
      <c r="H60" s="16" t="s">
        <v>401</v>
      </c>
    </row>
    <row r="61" customFormat="false" ht="64.15" hidden="false" customHeight="false" outlineLevel="0" collapsed="false">
      <c r="A61" s="15" t="n">
        <v>328889749</v>
      </c>
      <c r="B61" s="16" t="s">
        <v>402</v>
      </c>
      <c r="C61" s="16" t="s">
        <v>381</v>
      </c>
      <c r="D61" s="16" t="n">
        <v>6.66</v>
      </c>
      <c r="E61" s="16" t="n">
        <v>1184.3</v>
      </c>
      <c r="F61" s="16" t="n">
        <v>650</v>
      </c>
      <c r="G61" s="16" t="n">
        <v>14.3</v>
      </c>
      <c r="H61" s="16" t="s">
        <v>403</v>
      </c>
    </row>
    <row r="62" customFormat="false" ht="64.15" hidden="false" customHeight="false" outlineLevel="0" collapsed="false">
      <c r="A62" s="15" t="n">
        <v>332836088</v>
      </c>
      <c r="B62" s="16" t="s">
        <v>404</v>
      </c>
      <c r="C62" s="16" t="s">
        <v>405</v>
      </c>
      <c r="D62" s="16" t="n">
        <v>7.27</v>
      </c>
      <c r="E62" s="16" t="n">
        <v>988</v>
      </c>
      <c r="F62" s="16" t="n">
        <v>254</v>
      </c>
      <c r="G62" s="16" t="n">
        <v>7</v>
      </c>
      <c r="H62" s="16" t="s">
        <v>406</v>
      </c>
    </row>
    <row r="63" customFormat="false" ht="64.15" hidden="false" customHeight="false" outlineLevel="0" collapsed="false">
      <c r="A63" s="15" t="n">
        <v>331159134</v>
      </c>
      <c r="B63" s="16" t="s">
        <v>407</v>
      </c>
      <c r="C63" s="16" t="s">
        <v>408</v>
      </c>
      <c r="D63" s="16" t="n">
        <v>7.51</v>
      </c>
      <c r="E63" s="16" t="n">
        <v>1342.5</v>
      </c>
      <c r="F63" s="16" t="n">
        <v>500</v>
      </c>
      <c r="G63" s="16" t="n">
        <v>10</v>
      </c>
      <c r="H63" s="16" t="s">
        <v>409</v>
      </c>
    </row>
    <row r="64" customFormat="false" ht="64.15" hidden="false" customHeight="false" outlineLevel="0" collapsed="false">
      <c r="A64" s="15" t="n">
        <v>328824329</v>
      </c>
      <c r="B64" s="16" t="s">
        <v>410</v>
      </c>
      <c r="C64" s="16" t="s">
        <v>411</v>
      </c>
      <c r="D64" s="16" t="n">
        <v>7.55</v>
      </c>
      <c r="E64" s="16" t="n">
        <v>2637</v>
      </c>
      <c r="F64" s="16" t="n">
        <v>726</v>
      </c>
      <c r="G64" s="16" t="n">
        <v>13.8</v>
      </c>
      <c r="H64" s="16" t="s">
        <v>412</v>
      </c>
    </row>
    <row r="65" customFormat="false" ht="64.15" hidden="false" customHeight="false" outlineLevel="0" collapsed="false">
      <c r="A65" s="15" t="n">
        <v>333712748</v>
      </c>
      <c r="B65" s="16" t="s">
        <v>413</v>
      </c>
      <c r="C65" s="16" t="s">
        <v>414</v>
      </c>
      <c r="D65" s="16" t="n">
        <v>7.93</v>
      </c>
      <c r="E65" s="16" t="n">
        <v>835</v>
      </c>
      <c r="F65" s="16" t="n">
        <v>330</v>
      </c>
      <c r="G65" s="16" t="n">
        <v>7</v>
      </c>
      <c r="H65" s="16" t="s">
        <v>415</v>
      </c>
    </row>
    <row r="66" customFormat="false" ht="64.15" hidden="false" customHeight="false" outlineLevel="0" collapsed="false">
      <c r="A66" s="15" t="n">
        <v>334022019</v>
      </c>
      <c r="B66" s="16" t="s">
        <v>416</v>
      </c>
      <c r="C66" s="16" t="s">
        <v>417</v>
      </c>
      <c r="D66" s="16" t="n">
        <v>8.09</v>
      </c>
      <c r="E66" s="16" t="n">
        <v>904.6</v>
      </c>
      <c r="F66" s="16" t="n">
        <v>210</v>
      </c>
      <c r="G66" s="16" t="n">
        <v>9.2</v>
      </c>
      <c r="H66" s="16" t="s">
        <v>418</v>
      </c>
    </row>
    <row r="67" customFormat="false" ht="53.7" hidden="false" customHeight="false" outlineLevel="0" collapsed="false">
      <c r="A67" s="15" t="n">
        <v>327091274</v>
      </c>
      <c r="B67" s="16" t="s">
        <v>419</v>
      </c>
      <c r="C67" s="16" t="s">
        <v>420</v>
      </c>
      <c r="D67" s="16" t="n">
        <v>8.27</v>
      </c>
      <c r="E67" s="16" t="n">
        <v>929.4</v>
      </c>
      <c r="F67" s="16" t="n">
        <v>240</v>
      </c>
      <c r="G67" s="16" t="n">
        <v>13.3</v>
      </c>
      <c r="H67" s="16" t="s">
        <v>421</v>
      </c>
    </row>
    <row r="68" customFormat="false" ht="64.15" hidden="false" customHeight="false" outlineLevel="0" collapsed="false">
      <c r="A68" s="15" t="n">
        <v>331315943</v>
      </c>
      <c r="B68" s="16" t="s">
        <v>422</v>
      </c>
      <c r="C68" s="16" t="s">
        <v>423</v>
      </c>
      <c r="D68" s="16" t="n">
        <v>8.85</v>
      </c>
      <c r="E68" s="16" t="n">
        <v>6899</v>
      </c>
      <c r="F68" s="16" t="n">
        <v>2525</v>
      </c>
      <c r="G68" s="16" t="n">
        <v>6</v>
      </c>
      <c r="H68" s="16" t="s">
        <v>424</v>
      </c>
    </row>
    <row r="69" customFormat="false" ht="64.15" hidden="false" customHeight="false" outlineLevel="0" collapsed="false">
      <c r="A69" s="15" t="n">
        <v>331159117</v>
      </c>
      <c r="B69" s="16" t="s">
        <v>425</v>
      </c>
      <c r="C69" s="16" t="s">
        <v>423</v>
      </c>
      <c r="D69" s="16" t="n">
        <v>9.34</v>
      </c>
      <c r="E69" s="16" t="n">
        <v>4214.4</v>
      </c>
      <c r="F69" s="16" t="n">
        <v>1085</v>
      </c>
      <c r="G69" s="16" t="n">
        <v>8</v>
      </c>
      <c r="H69" s="16" t="s">
        <v>426</v>
      </c>
    </row>
    <row r="70" customFormat="false" ht="64.15" hidden="false" customHeight="false" outlineLevel="0" collapsed="false">
      <c r="A70" s="15" t="n">
        <v>331152558</v>
      </c>
      <c r="B70" s="16" t="s">
        <v>427</v>
      </c>
      <c r="C70" s="16" t="s">
        <v>423</v>
      </c>
      <c r="D70" s="16" t="n">
        <v>9.38</v>
      </c>
      <c r="E70" s="16" t="n">
        <v>9454.9</v>
      </c>
      <c r="F70" s="16" t="n">
        <v>1800</v>
      </c>
      <c r="G70" s="16" t="n">
        <v>7</v>
      </c>
      <c r="H70" s="16" t="s">
        <v>428</v>
      </c>
    </row>
    <row r="71" customFormat="false" ht="64.15" hidden="false" customHeight="false" outlineLevel="0" collapsed="false">
      <c r="A71" s="15" t="n">
        <v>335045517</v>
      </c>
      <c r="B71" s="16" t="s">
        <v>429</v>
      </c>
      <c r="C71" s="16" t="s">
        <v>430</v>
      </c>
      <c r="D71" s="16" t="n">
        <v>9.9</v>
      </c>
      <c r="E71" s="16" t="n">
        <v>14.7</v>
      </c>
      <c r="F71" s="16" t="n">
        <v>4.1</v>
      </c>
      <c r="G71" s="16" t="n">
        <v>18.2</v>
      </c>
      <c r="H71" s="16" t="s">
        <v>431</v>
      </c>
    </row>
    <row r="72" customFormat="false" ht="64.15" hidden="false" customHeight="false" outlineLevel="0" collapsed="false">
      <c r="A72" s="15" t="n">
        <v>332696421</v>
      </c>
      <c r="B72" s="16" t="s">
        <v>432</v>
      </c>
      <c r="C72" s="16" t="s">
        <v>433</v>
      </c>
      <c r="D72" s="16" t="n">
        <v>10.58</v>
      </c>
      <c r="E72" s="16" t="n">
        <v>1848</v>
      </c>
      <c r="F72" s="16" t="n">
        <v>203.4</v>
      </c>
      <c r="G72" s="16" t="n">
        <v>12.8</v>
      </c>
      <c r="H72" s="16" t="s">
        <v>434</v>
      </c>
    </row>
    <row r="73" customFormat="false" ht="64.15" hidden="false" customHeight="false" outlineLevel="0" collapsed="false">
      <c r="A73" s="15" t="n">
        <v>331159133</v>
      </c>
      <c r="B73" s="16" t="s">
        <v>435</v>
      </c>
      <c r="C73" s="16" t="s">
        <v>430</v>
      </c>
      <c r="D73" s="16" t="n">
        <v>10.86</v>
      </c>
      <c r="E73" s="16" t="n">
        <v>4863.4</v>
      </c>
      <c r="F73" s="16" t="n">
        <v>900</v>
      </c>
      <c r="G73" s="16" t="n">
        <v>12</v>
      </c>
      <c r="H73" s="16" t="s">
        <v>436</v>
      </c>
    </row>
    <row r="74" customFormat="false" ht="53.7" hidden="false" customHeight="false" outlineLevel="0" collapsed="false">
      <c r="A74" s="15" t="n">
        <v>307671296</v>
      </c>
      <c r="B74" s="16" t="s">
        <v>437</v>
      </c>
      <c r="C74" s="16" t="s">
        <v>438</v>
      </c>
      <c r="D74" s="16" t="n">
        <v>10.92</v>
      </c>
      <c r="E74" s="16" t="n">
        <v>1047</v>
      </c>
      <c r="F74" s="16" t="n">
        <v>420</v>
      </c>
      <c r="G74" s="16" t="n">
        <v>7.1</v>
      </c>
      <c r="H74" s="16" t="s">
        <v>439</v>
      </c>
    </row>
    <row r="75" customFormat="false" ht="64.15" hidden="false" customHeight="false" outlineLevel="0" collapsed="false">
      <c r="A75" s="15" t="n">
        <v>331159081</v>
      </c>
      <c r="B75" s="16" t="s">
        <v>440</v>
      </c>
      <c r="C75" s="16" t="s">
        <v>420</v>
      </c>
      <c r="D75" s="16" t="n">
        <v>11.01</v>
      </c>
      <c r="E75" s="16" t="n">
        <v>990</v>
      </c>
      <c r="F75" s="16" t="n">
        <v>145</v>
      </c>
      <c r="G75" s="16" t="n">
        <v>12</v>
      </c>
      <c r="H75" s="16" t="s">
        <v>441</v>
      </c>
    </row>
    <row r="76" customFormat="false" ht="64.15" hidden="false" customHeight="false" outlineLevel="0" collapsed="false">
      <c r="A76" s="15" t="n">
        <v>331198260</v>
      </c>
      <c r="B76" s="16" t="s">
        <v>442</v>
      </c>
      <c r="C76" s="16" t="s">
        <v>443</v>
      </c>
      <c r="D76" s="16" t="n">
        <v>11.69</v>
      </c>
      <c r="E76" s="16" t="n">
        <v>26270.4</v>
      </c>
      <c r="F76" s="16" t="n">
        <v>2300</v>
      </c>
      <c r="G76" s="16" t="n">
        <v>11</v>
      </c>
      <c r="H76" s="16" t="s">
        <v>444</v>
      </c>
    </row>
    <row r="77" customFormat="false" ht="64.15" hidden="false" customHeight="false" outlineLevel="0" collapsed="false">
      <c r="A77" s="15" t="n">
        <v>334659579</v>
      </c>
      <c r="B77" s="16" t="s">
        <v>445</v>
      </c>
      <c r="C77" s="16" t="s">
        <v>446</v>
      </c>
      <c r="D77" s="16" t="n">
        <v>11.74</v>
      </c>
      <c r="E77" s="16" t="n">
        <v>1700</v>
      </c>
      <c r="F77" s="16" t="n">
        <v>173</v>
      </c>
      <c r="G77" s="16" t="n">
        <v>11.8</v>
      </c>
      <c r="H77" s="16" t="s">
        <v>447</v>
      </c>
    </row>
    <row r="78" customFormat="false" ht="64.15" hidden="false" customHeight="false" outlineLevel="0" collapsed="false">
      <c r="A78" s="15" t="n">
        <v>335008787</v>
      </c>
      <c r="B78" s="16" t="s">
        <v>448</v>
      </c>
      <c r="C78" s="16" t="s">
        <v>449</v>
      </c>
      <c r="D78" s="16" t="n">
        <v>12.08</v>
      </c>
      <c r="E78" s="16" t="n">
        <v>1227</v>
      </c>
      <c r="F78" s="16" t="n">
        <v>199</v>
      </c>
      <c r="G78" s="16" t="n">
        <v>8</v>
      </c>
      <c r="H78" s="16" t="s">
        <v>450</v>
      </c>
    </row>
    <row r="79" customFormat="false" ht="64.15" hidden="false" customHeight="false" outlineLevel="0" collapsed="false">
      <c r="A79" s="15" t="n">
        <v>331198247</v>
      </c>
      <c r="B79" s="16" t="s">
        <v>451</v>
      </c>
      <c r="C79" s="16" t="s">
        <v>452</v>
      </c>
      <c r="D79" s="16" t="n">
        <v>12.3</v>
      </c>
      <c r="E79" s="16" t="n">
        <v>23180.1</v>
      </c>
      <c r="F79" s="16" t="n">
        <v>4636</v>
      </c>
      <c r="G79" s="16" t="n">
        <v>8</v>
      </c>
      <c r="H79" s="16" t="s">
        <v>453</v>
      </c>
    </row>
    <row r="80" customFormat="false" ht="64.15" hidden="false" customHeight="false" outlineLevel="0" collapsed="false">
      <c r="A80" s="15" t="n">
        <v>331580709</v>
      </c>
      <c r="B80" s="16" t="s">
        <v>454</v>
      </c>
      <c r="C80" s="16" t="s">
        <v>455</v>
      </c>
      <c r="D80" s="16" t="n">
        <v>12.36</v>
      </c>
      <c r="E80" s="16" t="n">
        <v>2320</v>
      </c>
      <c r="F80" s="16" t="n">
        <v>400</v>
      </c>
      <c r="G80" s="16" t="n">
        <v>6</v>
      </c>
      <c r="H80" s="16" t="s">
        <v>456</v>
      </c>
    </row>
    <row r="81" customFormat="false" ht="64.15" hidden="false" customHeight="false" outlineLevel="0" collapsed="false">
      <c r="A81" s="15" t="n">
        <v>334987537</v>
      </c>
      <c r="B81" s="16" t="s">
        <v>457</v>
      </c>
      <c r="C81" s="16" t="s">
        <v>458</v>
      </c>
      <c r="D81" s="16" t="n">
        <v>12.41</v>
      </c>
      <c r="E81" s="16" t="n">
        <v>4849</v>
      </c>
      <c r="F81" s="16" t="n">
        <v>771.5</v>
      </c>
      <c r="G81" s="16" t="n">
        <v>12.5</v>
      </c>
      <c r="H81" s="16" t="s">
        <v>459</v>
      </c>
    </row>
    <row r="82" customFormat="false" ht="64.15" hidden="false" customHeight="false" outlineLevel="0" collapsed="false">
      <c r="A82" s="15" t="n">
        <v>331159079</v>
      </c>
      <c r="B82" s="16" t="s">
        <v>460</v>
      </c>
      <c r="C82" s="16" t="s">
        <v>461</v>
      </c>
      <c r="D82" s="16" t="n">
        <v>13.12</v>
      </c>
      <c r="E82" s="16" t="n">
        <v>1398.8</v>
      </c>
      <c r="F82" s="16" t="n">
        <v>350</v>
      </c>
      <c r="G82" s="16" t="n">
        <v>11</v>
      </c>
      <c r="H82" s="16" t="s">
        <v>462</v>
      </c>
    </row>
    <row r="83" customFormat="false" ht="64.15" hidden="false" customHeight="false" outlineLevel="0" collapsed="false">
      <c r="A83" s="15" t="n">
        <v>333861147</v>
      </c>
      <c r="B83" s="16" t="s">
        <v>463</v>
      </c>
      <c r="C83" s="16" t="s">
        <v>433</v>
      </c>
      <c r="D83" s="16" t="n">
        <v>13.21</v>
      </c>
      <c r="E83" s="16" t="n">
        <v>671.4</v>
      </c>
      <c r="F83" s="16" t="n">
        <v>85</v>
      </c>
      <c r="G83" s="16" t="n">
        <v>11.3</v>
      </c>
      <c r="H83" s="16" t="s">
        <v>464</v>
      </c>
    </row>
    <row r="84" customFormat="false" ht="64.15" hidden="false" customHeight="false" outlineLevel="0" collapsed="false">
      <c r="A84" s="15" t="n">
        <v>332471518</v>
      </c>
      <c r="B84" s="16" t="s">
        <v>465</v>
      </c>
      <c r="C84" s="16" t="s">
        <v>466</v>
      </c>
      <c r="D84" s="16" t="n">
        <v>14.17</v>
      </c>
      <c r="E84" s="16" t="n">
        <v>101</v>
      </c>
      <c r="F84" s="16" t="n">
        <v>45</v>
      </c>
      <c r="G84" s="16" t="n">
        <v>10</v>
      </c>
      <c r="H84" s="16" t="s">
        <v>467</v>
      </c>
    </row>
    <row r="85" customFormat="false" ht="64.15" hidden="false" customHeight="false" outlineLevel="0" collapsed="false">
      <c r="A85" s="15" t="n">
        <v>331348346</v>
      </c>
      <c r="B85" s="16" t="s">
        <v>468</v>
      </c>
      <c r="C85" s="16" t="s">
        <v>469</v>
      </c>
      <c r="D85" s="16" t="n">
        <v>15.24</v>
      </c>
      <c r="E85" s="16" t="n">
        <v>2900</v>
      </c>
      <c r="F85" s="16" t="n">
        <v>630</v>
      </c>
      <c r="G85" s="16" t="n">
        <v>14</v>
      </c>
      <c r="H85" s="16" t="s">
        <v>470</v>
      </c>
    </row>
    <row r="86" customFormat="false" ht="64.15" hidden="false" customHeight="false" outlineLevel="0" collapsed="false">
      <c r="A86" s="15" t="n">
        <v>331159112</v>
      </c>
      <c r="B86" s="16" t="s">
        <v>471</v>
      </c>
      <c r="C86" s="16" t="s">
        <v>472</v>
      </c>
      <c r="D86" s="16" t="n">
        <v>16.47</v>
      </c>
      <c r="E86" s="16" t="n">
        <v>88547</v>
      </c>
      <c r="F86" s="16" t="n">
        <v>4100</v>
      </c>
      <c r="G86" s="16" t="n">
        <v>12</v>
      </c>
      <c r="H86" s="16" t="s">
        <v>473</v>
      </c>
    </row>
    <row r="87" customFormat="false" ht="64.15" hidden="false" customHeight="false" outlineLevel="0" collapsed="false">
      <c r="A87" s="15" t="n">
        <v>331102849</v>
      </c>
      <c r="B87" s="16" t="s">
        <v>474</v>
      </c>
      <c r="C87" s="16" t="s">
        <v>475</v>
      </c>
      <c r="D87" s="16" t="n">
        <v>18.18</v>
      </c>
      <c r="E87" s="16" t="n">
        <v>7337.1</v>
      </c>
      <c r="F87" s="16" t="n">
        <v>1300</v>
      </c>
      <c r="G87" s="16" t="n">
        <v>13</v>
      </c>
      <c r="H87" s="16" t="s">
        <v>476</v>
      </c>
    </row>
    <row r="88" customFormat="false" ht="64.15" hidden="false" customHeight="false" outlineLevel="0" collapsed="false">
      <c r="A88" s="15" t="n">
        <v>329995607</v>
      </c>
      <c r="B88" s="16" t="s">
        <v>477</v>
      </c>
      <c r="C88" s="16" t="s">
        <v>478</v>
      </c>
      <c r="D88" s="16" t="n">
        <v>21.75</v>
      </c>
      <c r="E88" s="16" t="n">
        <v>14750.3</v>
      </c>
      <c r="F88" s="16" t="n">
        <v>1900</v>
      </c>
      <c r="G88" s="16" t="n">
        <v>12.7</v>
      </c>
      <c r="H88" s="16" t="s">
        <v>479</v>
      </c>
    </row>
    <row r="89" customFormat="false" ht="64.15" hidden="false" customHeight="false" outlineLevel="0" collapsed="false">
      <c r="A89" s="15" t="n">
        <v>331348345</v>
      </c>
      <c r="B89" s="16" t="s">
        <v>480</v>
      </c>
      <c r="C89" s="16" t="s">
        <v>481</v>
      </c>
      <c r="D89" s="16" t="n">
        <v>22.07</v>
      </c>
      <c r="E89" s="16" t="n">
        <v>1594.4</v>
      </c>
      <c r="F89" s="16" t="n">
        <v>334.8</v>
      </c>
      <c r="G89" s="16" t="n">
        <v>10</v>
      </c>
      <c r="H89" s="16" t="s">
        <v>482</v>
      </c>
    </row>
    <row r="90" customFormat="false" ht="64.15" hidden="false" customHeight="false" outlineLevel="0" collapsed="false">
      <c r="A90" s="15" t="n">
        <v>331803529</v>
      </c>
      <c r="B90" s="16" t="s">
        <v>483</v>
      </c>
      <c r="C90" s="16" t="s">
        <v>478</v>
      </c>
      <c r="D90" s="16" t="n">
        <v>22.22</v>
      </c>
      <c r="E90" s="16" t="n">
        <v>2467.2</v>
      </c>
      <c r="F90" s="16" t="n">
        <v>280</v>
      </c>
      <c r="G90" s="16" t="n">
        <v>5</v>
      </c>
      <c r="H90" s="16" t="s">
        <v>484</v>
      </c>
    </row>
    <row r="91" customFormat="false" ht="64.15" hidden="false" customHeight="false" outlineLevel="0" collapsed="false">
      <c r="A91" s="15" t="n">
        <v>334386114</v>
      </c>
      <c r="B91" s="16" t="s">
        <v>485</v>
      </c>
      <c r="C91" s="16" t="s">
        <v>486</v>
      </c>
      <c r="D91" s="16" t="n">
        <v>25.84</v>
      </c>
      <c r="E91" s="16" t="n">
        <v>3555.1</v>
      </c>
      <c r="F91" s="16" t="n">
        <v>350</v>
      </c>
      <c r="G91" s="16" t="n">
        <v>10</v>
      </c>
      <c r="H91" s="16" t="s">
        <v>487</v>
      </c>
    </row>
    <row r="92" customFormat="false" ht="64.15" hidden="false" customHeight="false" outlineLevel="0" collapsed="false">
      <c r="A92" s="15" t="n">
        <v>334475772</v>
      </c>
      <c r="B92" s="16" t="s">
        <v>488</v>
      </c>
      <c r="C92" s="16"/>
      <c r="D92" s="16" t="n">
        <v>39.43</v>
      </c>
      <c r="E92" s="16" t="n">
        <v>410</v>
      </c>
      <c r="F92" s="16" t="n">
        <v>137</v>
      </c>
      <c r="G92" s="16" t="n">
        <v>12.5</v>
      </c>
      <c r="H92" s="16" t="s">
        <v>489</v>
      </c>
    </row>
    <row r="93" customFormat="false" ht="64.15" hidden="false" customHeight="false" outlineLevel="0" collapsed="false">
      <c r="A93" s="15" t="n">
        <v>334575989</v>
      </c>
      <c r="B93" s="16" t="s">
        <v>490</v>
      </c>
      <c r="C93" s="16"/>
      <c r="D93" s="16" t="n">
        <v>51.67</v>
      </c>
      <c r="E93" s="16" t="n">
        <v>1691.6</v>
      </c>
      <c r="F93" s="16" t="n">
        <v>110</v>
      </c>
      <c r="G93" s="16" t="n">
        <v>15</v>
      </c>
      <c r="H93" s="16" t="s">
        <v>491</v>
      </c>
    </row>
  </sheetData>
  <autoFilter ref="A1:H93"/>
  <hyperlinks>
    <hyperlink ref="A2" r:id="rId1" display="https://www.cian.ru/sale/commercial/331348350/?mlSearchSessionGuid=3ac2b91ec48fa48ad74ab198ec843006"/>
    <hyperlink ref="A3" r:id="rId2" display="https://www.cian.ru/sale/commercial/309295063/?mlSearchSessionGuid=3ac2b91ec48fa48ad74ab198ec843006"/>
    <hyperlink ref="A4" r:id="rId3" display="https://www.cian.ru/sale/commercial/328722410/?mlSearchSessionGuid=3ac2b91ec48fa48ad74ab198ec843006"/>
    <hyperlink ref="A5" r:id="rId4" display="https://www.cian.ru/sale/commercial/332617461/?mlSearchSessionGuid=3ac2b91ec48fa48ad74ab198ec843006"/>
    <hyperlink ref="A6" r:id="rId5" display="https://www.cian.ru/sale/commercial/334521519/?mlSearchSessionGuid=3ac2b91ec48fa48ad74ab198ec843006"/>
    <hyperlink ref="A7" r:id="rId6" display="https://www.cian.ru/sale/commercial/323203435/?mlSearchSessionGuid=3ac2b91ec48fa48ad74ab198ec843006"/>
    <hyperlink ref="A8" r:id="rId7" display="https://www.cian.ru/sale/commercial/331199745/?mlSearchSessionGuid=3ac2b91ec48fa48ad74ab198ec843006"/>
    <hyperlink ref="A9" r:id="rId8" display="https://www.cian.ru/sale/commercial/331333275/?mlSearchSessionGuid=3ac2b91ec48fa48ad74ab198ec843006"/>
    <hyperlink ref="A10" r:id="rId9" display="https://www.cian.ru/sale/commercial/333562430/?mlSearchSessionGuid=3ac2b91ec48fa48ad74ab198ec843006"/>
    <hyperlink ref="A11" r:id="rId10" display="https://www.cian.ru/sale/commercial/333565724/?mlSearchSessionGuid=3ac2b91ec48fa48ad74ab198ec843006"/>
    <hyperlink ref="A12" r:id="rId11" display="https://www.cian.ru/sale/commercial/331510990/?mlSearchSessionGuid=3ac2b91ec48fa48ad74ab198ec843006"/>
    <hyperlink ref="A13" r:id="rId12" display="https://www.cian.ru/sale/commercial/333534160/?mlSearchSessionGuid=3ac2b91ec48fa48ad74ab198ec843006"/>
    <hyperlink ref="A14" r:id="rId13" display="https://www.cian.ru/sale/commercial/325104148/?mlSearchSessionGuid=3ac2b91ec48fa48ad74ab198ec843006"/>
    <hyperlink ref="A15" r:id="rId14" display="https://www.cian.ru/sale/commercial/329911898/?mlSearchSessionGuid=3ac2b91ec48fa48ad74ab198ec843006"/>
    <hyperlink ref="A16" r:id="rId15" display="https://www.cian.ru/sale/commercial/331591392/?mlSearchSessionGuid=3ac2b91ec48fa48ad74ab198ec843006"/>
    <hyperlink ref="A17" r:id="rId16" display="https://www.cian.ru/sale/commercial/332617504/?mlSearchSessionGuid=3ac2b91ec48fa48ad74ab198ec843006"/>
    <hyperlink ref="A18" r:id="rId17" display="https://www.cian.ru/sale/commercial/331580718/?mlSearchSessionGuid=b132bea00d2adfdcf32c0349d93bd4fe"/>
    <hyperlink ref="A19" r:id="rId18" display="https://www.cian.ru/sale/commercial/332893709/?mlSearchSessionGuid=3ac2b91ec48fa48ad74ab198ec843006"/>
    <hyperlink ref="A20" r:id="rId19" display="https://www.cian.ru/sale/commercial/323025236/?mlSearchSessionGuid=b132bea00d2adfdcf32c0349d93bd4fe"/>
    <hyperlink ref="A21" r:id="rId20" display="https://www.cian.ru/sale/commercial/332617259/?mlSearchSessionGuid=3ac2b91ec48fa48ad74ab198ec843006"/>
    <hyperlink ref="A22" r:id="rId21" display="https://www.cian.ru/sale/commercial/327893414/?mlSearchSessionGuid=b132bea00d2adfdcf32c0349d93bd4fe"/>
    <hyperlink ref="A23" r:id="rId22" display="https://www.cian.ru/sale/commercial/331277080/?mlSearchSessionGuid=3ac2b91ec48fa48ad74ab198ec843006"/>
    <hyperlink ref="A24" r:id="rId23" display="https://www.cian.ru/sale/commercial/331277042/?mlSearchSessionGuid=b132bea00d2adfdcf32c0349d93bd4fe"/>
    <hyperlink ref="A25" r:id="rId24" display="https://www.cian.ru/sale/commercial/333534161/?mlSearchSessionGuid=3ac2b91ec48fa48ad74ab198ec843006"/>
    <hyperlink ref="A26" r:id="rId25" display="https://www.cian.ru/sale/commercial/333223182/?mlSearchSessionGuid=3ac2b91ec48fa48ad74ab198ec843006"/>
    <hyperlink ref="A27" r:id="rId26" display="https://www.cian.ru/sale/commercial/331105707/?mlSearchSessionGuid=b132bea00d2adfdcf32c0349d93bd4fe"/>
    <hyperlink ref="A28" r:id="rId27" display="https://www.cian.ru/sale/commercial/333226983/?mlSearchSessionGuid=b132bea00d2adfdcf32c0349d93bd4fe"/>
    <hyperlink ref="A29" r:id="rId28" display="https://www.cian.ru/sale/commercial/324037206/?mlSearchSessionGuid=3ac2b91ec48fa48ad74ab198ec843006"/>
    <hyperlink ref="A30" r:id="rId29" display="https://www.cian.ru/sale/commercial/316374398/?mlSearchSessionGuid=3ac2b91ec48fa48ad74ab198ec843006"/>
    <hyperlink ref="A31" r:id="rId30" display="https://www.cian.ru/sale/commercial/321649738/?mlSearchSessionGuid=3ac2b91ec48fa48ad74ab198ec843006"/>
    <hyperlink ref="A32" r:id="rId31" display="https://www.cian.ru/sale/commercial/334611337/?mlSearchSessionGuid=b132bea00d2adfdcf32c0349d93bd4fe"/>
    <hyperlink ref="A33" r:id="rId32" display="https://www.cian.ru/sale/commercial/331277109/?mlSearchSessionGuid=b132bea00d2adfdcf32c0349d93bd4fe"/>
    <hyperlink ref="A34" r:id="rId33" display="https://www.cian.ru/sale/commercial/331110253/?mlSearchSessionGuid=b132bea00d2adfdcf32c0349d93bd4fe"/>
    <hyperlink ref="A35" r:id="rId34" display="https://www.cian.ru/sale/commercial/333534159/?mlSearchSessionGuid=3ac2b91ec48fa48ad74ab198ec843006"/>
    <hyperlink ref="A36" r:id="rId35" display="https://www.cian.ru/sale/commercial/328912113/?mlSearchSessionGuid=3ac2b91ec48fa48ad74ab198ec843006"/>
    <hyperlink ref="A37" r:id="rId36" display="https://www.cian.ru/sale/commercial/333077189/?mlSearchSessionGuid=b132bea00d2adfdcf32c0349d93bd4fe"/>
    <hyperlink ref="A38" r:id="rId37" display="https://www.cian.ru/sale/commercial/331765039/?mlSearchSessionGuid=3ac2b91ec48fa48ad74ab198ec843006"/>
    <hyperlink ref="A39" r:id="rId38" display="https://www.cian.ru/sale/commercial/331277121/?mlSearchSessionGuid=b132bea00d2adfdcf32c0349d93bd4fe"/>
    <hyperlink ref="A40" r:id="rId39" display="https://www.cian.ru/sale/commercial/332213336/?mlSearchSessionGuid=3ac2b91ec48fa48ad74ab198ec843006"/>
    <hyperlink ref="A41" r:id="rId40" display="https://www.cian.ru/sale/commercial/321141559/?mlSearchSessionGuid=3ac2b91ec48fa48ad74ab198ec843006"/>
    <hyperlink ref="A42" r:id="rId41" display="https://www.cian.ru/sale/commercial/332865724/?mlSearchSessionGuid=3ac2b91ec48fa48ad74ab198ec843006"/>
    <hyperlink ref="A43" r:id="rId42" display="https://www.cian.ru/sale/commercial/333569588/?mlSearchSessionGuid=3ac2b91ec48fa48ad74ab198ec843006"/>
    <hyperlink ref="A44" r:id="rId43" display="https://www.cian.ru/sale/commercial/331348338/?mlSearchSessionGuid=b132bea00d2adfdcf32c0349d93bd4fe"/>
    <hyperlink ref="A45" r:id="rId44" display="https://www.cian.ru/sale/commercial/331277115/?mlSearchSessionGuid=b132bea00d2adfdcf32c0349d93bd4fe"/>
    <hyperlink ref="A46" r:id="rId45" display="https://www.cian.ru/sale/commercial/332604347/?mlSearchSessionGuid=3ac2b91ec48fa48ad74ab198ec843006"/>
    <hyperlink ref="A47" r:id="rId46" display="https://www.cian.ru/sale/commercial/333584490/?mlSearchSessionGuid=b132bea00d2adfdcf32c0349d93bd4fe"/>
    <hyperlink ref="A48" r:id="rId47" display="https://www.cian.ru/sale/commercial/333570580/?mlSearchSessionGuid=b132bea00d2adfdcf32c0349d93bd4fe"/>
    <hyperlink ref="A49" r:id="rId48" display="https://www.cian.ru/sale/commercial/331159088/?mlSearchSessionGuid=b132bea00d2adfdcf32c0349d93bd4fe"/>
    <hyperlink ref="A50" r:id="rId49" display="https://www.cian.ru/sale/commercial/331198250/?mlSearchSessionGuid=b132bea00d2adfdcf32c0349d93bd4fe"/>
    <hyperlink ref="A51" r:id="rId50" display="https://www.cian.ru/sale/commercial/331277058/?mlSearchSessionGuid=b132bea00d2adfdcf32c0349d93bd4fe"/>
    <hyperlink ref="A52" r:id="rId51" display="https://www.cian.ru/sale/commercial/331159063/?mlSearchSessionGuid=b132bea00d2adfdcf32c0349d93bd4fe"/>
    <hyperlink ref="A53" r:id="rId52" display="https://www.cian.ru/sale/commercial/331315946/?mlSearchSessionGuid=b132bea00d2adfdcf32c0349d93bd4fe"/>
    <hyperlink ref="A54" r:id="rId53" display="https://www.cian.ru/sale/commercial/331803535/?mlSearchSessionGuid=b132bea00d2adfdcf32c0349d93bd4fe"/>
    <hyperlink ref="A55" r:id="rId54" display="https://www.cian.ru/sale/commercial/334118274/?mlSearchSessionGuid=b132bea00d2adfdcf32c0349d93bd4fe"/>
    <hyperlink ref="A56" r:id="rId55" display="https://www.cian.ru/sale/commercial/319990725/?mlSearchSessionGuid=b132bea00d2adfdcf32c0349d93bd4fe"/>
    <hyperlink ref="A57" r:id="rId56" display="https://www.cian.ru/sale/commercial/331159130/?mlSearchSessionGuid=b132bea00d2adfdcf32c0349d93bd4fe"/>
    <hyperlink ref="A58" r:id="rId57" display="https://www.cian.ru/sale/commercial/333550683/?mlSearchSessionGuid=b132bea00d2adfdcf32c0349d93bd4fe"/>
    <hyperlink ref="A59" r:id="rId58" display="https://www.cian.ru/sale/commercial/331129062/?mlSearchSessionGuid=b132bea00d2adfdcf32c0349d93bd4fe"/>
    <hyperlink ref="A60" r:id="rId59" display="https://www.cian.ru/sale/commercial/331358742/?mlSearchSessionGuid=b132bea00d2adfdcf32c0349d93bd4fe"/>
    <hyperlink ref="A61" r:id="rId60" display="https://www.cian.ru/sale/commercial/328889749/?mlSearchSessionGuid=b132bea00d2adfdcf32c0349d93bd4fe"/>
    <hyperlink ref="A62" r:id="rId61" display="https://www.cian.ru/sale/commercial/332836088/?mlSearchSessionGuid=b132bea00d2adfdcf32c0349d93bd4fe"/>
    <hyperlink ref="A63" r:id="rId62" display="https://www.cian.ru/sale/commercial/331159134/?mlSearchSessionGuid=b132bea00d2adfdcf32c0349d93bd4fe"/>
    <hyperlink ref="A64" r:id="rId63" display="https://www.cian.ru/sale/commercial/328824329/?mlSearchSessionGuid=b132bea00d2adfdcf32c0349d93bd4fe"/>
    <hyperlink ref="A65" r:id="rId64" display="https://www.cian.ru/sale/commercial/333712748/?mlSearchSessionGuid=b132bea00d2adfdcf32c0349d93bd4fe"/>
    <hyperlink ref="A66" r:id="rId65" display="https://www.cian.ru/sale/commercial/334022019/?mlSearchSessionGuid=b132bea00d2adfdcf32c0349d93bd4fe"/>
    <hyperlink ref="A67" r:id="rId66" display="https://www.cian.ru/sale/commercial/327091274/?mlSearchSessionGuid=b132bea00d2adfdcf32c0349d93bd4fe"/>
    <hyperlink ref="A68" r:id="rId67" display="https://www.cian.ru/sale/commercial/331315943/?mlSearchSessionGuid=b132bea00d2adfdcf32c0349d93bd4fe"/>
    <hyperlink ref="A69" r:id="rId68" display="https://www.cian.ru/sale/commercial/331159117/?mlSearchSessionGuid=b132bea00d2adfdcf32c0349d93bd4fe"/>
    <hyperlink ref="A70" r:id="rId69" display="https://www.cian.ru/sale/commercial/331152558/?mlSearchSessionGuid=b132bea00d2adfdcf32c0349d93bd4fe"/>
    <hyperlink ref="A71" r:id="rId70" display="https://www.cian.ru/sale/commercial/335045517/?mlSearchSessionGuid=b132bea00d2adfdcf32c0349d93bd4fe"/>
    <hyperlink ref="A72" r:id="rId71" display="https://www.cian.ru/sale/commercial/332696421/?mlSearchSessionGuid=b132bea00d2adfdcf32c0349d93bd4fe"/>
    <hyperlink ref="A73" r:id="rId72" display="https://www.cian.ru/sale/commercial/331159133/?mlSearchSessionGuid=b132bea00d2adfdcf32c0349d93bd4fe"/>
    <hyperlink ref="A74" r:id="rId73" display="https://www.cian.ru/sale/commercial/307671296/?mlSearchSessionGuid=b132bea00d2adfdcf32c0349d93bd4fe"/>
    <hyperlink ref="A75" r:id="rId74" display="https://www.cian.ru/sale/commercial/331159081/?mlSearchSessionGuid=b132bea00d2adfdcf32c0349d93bd4fe"/>
    <hyperlink ref="A76" r:id="rId75" display="https://www.cian.ru/sale/commercial/331198260/?mlSearchSessionGuid=b132bea00d2adfdcf32c0349d93bd4fe"/>
    <hyperlink ref="A77" r:id="rId76" display="https://www.cian.ru/sale/commercial/334659579/?mlSearchSessionGuid=b132bea00d2adfdcf32c0349d93bd4fe"/>
    <hyperlink ref="A78" r:id="rId77" display="https://www.cian.ru/sale/commercial/335008787/?mlSearchSessionGuid=b132bea00d2adfdcf32c0349d93bd4fe"/>
    <hyperlink ref="A79" r:id="rId78" display="https://www.cian.ru/sale/commercial/331198247/?mlSearchSessionGuid=b132bea00d2adfdcf32c0349d93bd4fe"/>
    <hyperlink ref="A80" r:id="rId79" display="https://www.cian.ru/sale/commercial/331580709/?mlSearchSessionGuid=b132bea00d2adfdcf32c0349d93bd4fe"/>
    <hyperlink ref="A81" r:id="rId80" display="https://www.cian.ru/sale/commercial/334987537/?mlSearchSessionGuid=b132bea00d2adfdcf32c0349d93bd4fe"/>
    <hyperlink ref="A82" r:id="rId81" display="https://www.cian.ru/sale/commercial/331159079/?mlSearchSessionGuid=b132bea00d2adfdcf32c0349d93bd4fe"/>
    <hyperlink ref="A83" r:id="rId82" display="https://www.cian.ru/sale/commercial/333861147/?mlSearchSessionGuid=b132bea00d2adfdcf32c0349d93bd4fe"/>
    <hyperlink ref="A84" r:id="rId83" display="https://www.cian.ru/sale/commercial/332471518/?mlSearchSessionGuid=b132bea00d2adfdcf32c0349d93bd4fe"/>
    <hyperlink ref="A85" r:id="rId84" display="https://www.cian.ru/sale/commercial/331348346/?mlSearchSessionGuid=b132bea00d2adfdcf32c0349d93bd4fe"/>
    <hyperlink ref="A86" r:id="rId85" display="https://www.cian.ru/sale/commercial/331159112/?mlSearchSessionGuid=b132bea00d2adfdcf32c0349d93bd4fe"/>
    <hyperlink ref="A87" r:id="rId86" display="https://www.cian.ru/sale/commercial/331102849/?mlSearchSessionGuid=b132bea00d2adfdcf32c0349d93bd4fe"/>
    <hyperlink ref="A88" r:id="rId87" display="https://www.cian.ru/sale/commercial/329995607/?mlSearchSessionGuid=b132bea00d2adfdcf32c0349d93bd4fe"/>
    <hyperlink ref="A89" r:id="rId88" display="https://www.cian.ru/sale/commercial/331348345/?mlSearchSessionGuid=b132bea00d2adfdcf32c0349d93bd4fe"/>
    <hyperlink ref="A90" r:id="rId89" display="https://www.cian.ru/sale/commercial/331803529/?mlSearchSessionGuid=b132bea00d2adfdcf32c0349d93bd4fe"/>
    <hyperlink ref="A91" r:id="rId90" display="https://www.cian.ru/sale/commercial/334386114/?mlSearchSessionGuid=b132bea00d2adfdcf32c0349d93bd4fe"/>
    <hyperlink ref="A92" r:id="rId91" display="https://www.cian.ru/sale/commercial/334475772/?mlSearchSessionGuid=f83ce42be4e85d371ce24e079ac9cb59"/>
    <hyperlink ref="A93" r:id="rId92" display="https://www.cian.ru/sale/commercial/334575989/?mlSearchSessionGuid=f83ce42be4e85d371ce24e079ac9cb5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6"/>
    <col collapsed="false" customWidth="true" hidden="false" outlineLevel="0" max="5" min="4" style="0" width="8"/>
    <col collapsed="false" customWidth="true" hidden="false" outlineLevel="0" max="6" min="6" style="0" width="10"/>
    <col collapsed="false" customWidth="true" hidden="false" outlineLevel="0" max="7" min="7" style="0" width="9"/>
    <col collapsed="false" customWidth="true" hidden="false" outlineLevel="0" max="8" min="8" style="0" width="10"/>
    <col collapsed="false" customWidth="true" hidden="false" outlineLevel="0" max="9" min="9" style="0" width="18"/>
    <col collapsed="false" customWidth="true" hidden="false" outlineLevel="0" max="10" min="10" style="0" width="20"/>
    <col collapsed="false" customWidth="true" hidden="false" outlineLevel="0" max="11" min="11" style="0" width="70"/>
  </cols>
  <sheetData>
    <row r="1" customFormat="false" ht="39.75" hidden="false" customHeight="true" outlineLevel="0" collapsed="false">
      <c r="A1" s="14" t="s">
        <v>46</v>
      </c>
      <c r="B1" s="14" t="s">
        <v>492</v>
      </c>
      <c r="C1" s="14" t="s">
        <v>48</v>
      </c>
      <c r="D1" s="14" t="s">
        <v>49</v>
      </c>
      <c r="E1" s="14" t="s">
        <v>493</v>
      </c>
      <c r="F1" s="14" t="s">
        <v>494</v>
      </c>
      <c r="G1" s="14" t="s">
        <v>53</v>
      </c>
      <c r="H1" s="14" t="s">
        <v>495</v>
      </c>
      <c r="I1" s="14" t="s">
        <v>496</v>
      </c>
      <c r="J1" s="14" t="s">
        <v>59</v>
      </c>
      <c r="K1" s="14" t="s">
        <v>60</v>
      </c>
    </row>
    <row r="2" customFormat="false" ht="74.6" hidden="false" customHeight="false" outlineLevel="0" collapsed="false">
      <c r="A2" s="15" t="n">
        <v>331721981</v>
      </c>
      <c r="B2" s="16" t="s">
        <v>497</v>
      </c>
      <c r="C2" s="16" t="s">
        <v>498</v>
      </c>
      <c r="D2" s="16" t="n">
        <v>4.31</v>
      </c>
      <c r="E2" s="16" t="n">
        <v>5.89</v>
      </c>
      <c r="F2" s="16" t="n">
        <v>1366</v>
      </c>
      <c r="G2" s="16" t="n">
        <v>120</v>
      </c>
      <c r="H2" s="16" t="n">
        <v>87848</v>
      </c>
      <c r="I2" s="16"/>
      <c r="J2" s="16"/>
      <c r="K2" s="16" t="s">
        <v>499</v>
      </c>
    </row>
    <row r="3" customFormat="false" ht="74.6" hidden="false" customHeight="false" outlineLevel="0" collapsed="false">
      <c r="A3" s="15" t="n">
        <v>328834818</v>
      </c>
      <c r="B3" s="16" t="s">
        <v>500</v>
      </c>
      <c r="C3" s="16" t="s">
        <v>371</v>
      </c>
      <c r="D3" s="16" t="n">
        <v>4.74</v>
      </c>
      <c r="E3" s="16" t="n">
        <v>2.76</v>
      </c>
      <c r="F3" s="16" t="n">
        <v>6502</v>
      </c>
      <c r="G3" s="16" t="n">
        <v>800</v>
      </c>
      <c r="H3" s="16" t="n">
        <v>123039</v>
      </c>
      <c r="I3" s="16" t="s">
        <v>501</v>
      </c>
      <c r="J3" s="16"/>
      <c r="K3" s="16" t="s">
        <v>502</v>
      </c>
    </row>
    <row r="4" customFormat="false" ht="74.6" hidden="false" customHeight="false" outlineLevel="0" collapsed="false">
      <c r="A4" s="15" t="n">
        <v>334643903</v>
      </c>
      <c r="B4" s="16" t="s">
        <v>503</v>
      </c>
      <c r="C4" s="16" t="s">
        <v>411</v>
      </c>
      <c r="D4" s="16" t="n">
        <v>4.74</v>
      </c>
      <c r="E4" s="16" t="n">
        <v>10.48</v>
      </c>
      <c r="F4" s="16" t="n">
        <v>21100</v>
      </c>
      <c r="G4" s="16" t="n">
        <v>1500</v>
      </c>
      <c r="H4" s="16" t="n">
        <v>71090</v>
      </c>
      <c r="I4" s="16" t="s">
        <v>504</v>
      </c>
      <c r="J4" s="16"/>
      <c r="K4" s="16" t="s">
        <v>505</v>
      </c>
    </row>
    <row r="5" customFormat="false" ht="74.6" hidden="false" customHeight="false" outlineLevel="0" collapsed="false">
      <c r="A5" s="15" t="n">
        <v>296392365</v>
      </c>
      <c r="B5" s="16" t="s">
        <v>497</v>
      </c>
      <c r="C5" s="16" t="s">
        <v>384</v>
      </c>
      <c r="D5" s="16" t="n">
        <v>5.35</v>
      </c>
      <c r="E5" s="16" t="n">
        <v>6.46</v>
      </c>
      <c r="F5" s="16" t="n">
        <v>3855</v>
      </c>
      <c r="G5" s="16" t="n">
        <v>200</v>
      </c>
      <c r="H5" s="16" t="n">
        <v>51881</v>
      </c>
      <c r="I5" s="16" t="s">
        <v>506</v>
      </c>
      <c r="J5" s="16"/>
      <c r="K5" s="16" t="s">
        <v>507</v>
      </c>
    </row>
    <row r="6" customFormat="false" ht="74.6" hidden="false" customHeight="false" outlineLevel="0" collapsed="false">
      <c r="A6" s="15" t="n">
        <v>327938890</v>
      </c>
      <c r="B6" s="16" t="s">
        <v>500</v>
      </c>
      <c r="C6" s="16" t="s">
        <v>381</v>
      </c>
      <c r="D6" s="16" t="n">
        <v>6.11</v>
      </c>
      <c r="E6" s="16" t="n">
        <v>1.87</v>
      </c>
      <c r="F6" s="16" t="n">
        <v>26234</v>
      </c>
      <c r="G6" s="16" t="n">
        <v>25000</v>
      </c>
      <c r="H6" s="16" t="n">
        <v>952962</v>
      </c>
      <c r="I6" s="16"/>
      <c r="J6" s="16"/>
      <c r="K6" s="16" t="s">
        <v>508</v>
      </c>
    </row>
    <row r="7" customFormat="false" ht="74.6" hidden="false" customHeight="false" outlineLevel="0" collapsed="false">
      <c r="A7" s="15" t="n">
        <v>328843173</v>
      </c>
      <c r="B7" s="16" t="s">
        <v>497</v>
      </c>
      <c r="C7" s="16" t="s">
        <v>509</v>
      </c>
      <c r="D7" s="16" t="n">
        <v>6.68</v>
      </c>
      <c r="E7" s="16" t="n">
        <v>11.24</v>
      </c>
      <c r="F7" s="16" t="n">
        <v>43000000</v>
      </c>
      <c r="G7" s="16" t="n">
        <v>1550</v>
      </c>
      <c r="H7" s="16" t="n">
        <v>36</v>
      </c>
      <c r="I7" s="16"/>
      <c r="J7" s="16"/>
      <c r="K7" s="16" t="s">
        <v>510</v>
      </c>
    </row>
    <row r="8" customFormat="false" ht="64.15" hidden="false" customHeight="false" outlineLevel="0" collapsed="false">
      <c r="A8" s="15" t="n">
        <v>326192196</v>
      </c>
      <c r="B8" s="16" t="s">
        <v>511</v>
      </c>
      <c r="C8" s="16" t="s">
        <v>512</v>
      </c>
      <c r="D8" s="16" t="n">
        <v>6.94</v>
      </c>
      <c r="E8" s="16" t="n">
        <v>6.41</v>
      </c>
      <c r="F8" s="16" t="n">
        <v>11000</v>
      </c>
      <c r="G8" s="16" t="n">
        <v>280</v>
      </c>
      <c r="H8" s="16" t="n">
        <v>25455</v>
      </c>
      <c r="I8" s="16" t="s">
        <v>513</v>
      </c>
      <c r="J8" s="16"/>
      <c r="K8" s="16" t="s">
        <v>514</v>
      </c>
    </row>
    <row r="9" customFormat="false" ht="74.6" hidden="false" customHeight="false" outlineLevel="0" collapsed="false">
      <c r="A9" s="15" t="n">
        <v>334889588</v>
      </c>
      <c r="B9" s="16" t="s">
        <v>511</v>
      </c>
      <c r="C9" s="16" t="s">
        <v>515</v>
      </c>
      <c r="D9" s="16" t="n">
        <v>7.24</v>
      </c>
      <c r="E9" s="16" t="n">
        <v>5.39</v>
      </c>
      <c r="F9" s="16" t="n">
        <v>6200</v>
      </c>
      <c r="G9" s="16" t="n">
        <v>590</v>
      </c>
      <c r="H9" s="16" t="n">
        <v>95161</v>
      </c>
      <c r="I9" s="16" t="s">
        <v>516</v>
      </c>
      <c r="J9" s="16"/>
      <c r="K9" s="16" t="s">
        <v>517</v>
      </c>
    </row>
    <row r="10" customFormat="false" ht="74.6" hidden="false" customHeight="false" outlineLevel="0" collapsed="false">
      <c r="A10" s="15" t="n">
        <v>331348779</v>
      </c>
      <c r="B10" s="16" t="s">
        <v>518</v>
      </c>
      <c r="C10" s="16" t="s">
        <v>519</v>
      </c>
      <c r="D10" s="16" t="n">
        <v>7.35</v>
      </c>
      <c r="E10" s="16" t="n">
        <v>4.69</v>
      </c>
      <c r="F10" s="16" t="n">
        <v>2100</v>
      </c>
      <c r="G10" s="16" t="n">
        <v>334.7</v>
      </c>
      <c r="H10" s="16" t="n">
        <v>159367</v>
      </c>
      <c r="I10" s="16"/>
      <c r="J10" s="16"/>
      <c r="K10" s="16" t="s">
        <v>520</v>
      </c>
    </row>
    <row r="11" customFormat="false" ht="74.6" hidden="false" customHeight="false" outlineLevel="0" collapsed="false">
      <c r="A11" s="15" t="n">
        <v>333889918</v>
      </c>
      <c r="B11" s="16" t="s">
        <v>503</v>
      </c>
      <c r="C11" s="16" t="s">
        <v>374</v>
      </c>
      <c r="D11" s="16" t="n">
        <v>7.57</v>
      </c>
      <c r="E11" s="16" t="n">
        <v>9.92</v>
      </c>
      <c r="F11" s="16" t="n">
        <v>1885</v>
      </c>
      <c r="G11" s="16" t="n">
        <v>12.5</v>
      </c>
      <c r="H11" s="16" t="n">
        <v>6631</v>
      </c>
      <c r="I11" s="16" t="s">
        <v>521</v>
      </c>
      <c r="J11" s="16"/>
      <c r="K11" s="16" t="s">
        <v>522</v>
      </c>
    </row>
    <row r="12" customFormat="false" ht="74.6" hidden="false" customHeight="false" outlineLevel="0" collapsed="false">
      <c r="A12" s="15" t="n">
        <v>334434394</v>
      </c>
      <c r="B12" s="16" t="s">
        <v>500</v>
      </c>
      <c r="C12" s="16" t="s">
        <v>523</v>
      </c>
      <c r="D12" s="16" t="n">
        <v>7.77</v>
      </c>
      <c r="E12" s="16" t="n">
        <v>2.29</v>
      </c>
      <c r="F12" s="16" t="n">
        <v>516</v>
      </c>
      <c r="G12" s="16" t="n">
        <v>350</v>
      </c>
      <c r="H12" s="16" t="n">
        <v>678295</v>
      </c>
      <c r="I12" s="16" t="s">
        <v>524</v>
      </c>
      <c r="J12" s="16"/>
      <c r="K12" s="16" t="s">
        <v>525</v>
      </c>
    </row>
    <row r="13" customFormat="false" ht="74.6" hidden="false" customHeight="false" outlineLevel="0" collapsed="false">
      <c r="A13" s="15" t="n">
        <v>332355836</v>
      </c>
      <c r="B13" s="16" t="s">
        <v>511</v>
      </c>
      <c r="C13" s="16" t="s">
        <v>446</v>
      </c>
      <c r="D13" s="16" t="n">
        <v>8.49</v>
      </c>
      <c r="E13" s="16" t="n">
        <v>7.83</v>
      </c>
      <c r="F13" s="16" t="n">
        <v>15600</v>
      </c>
      <c r="G13" s="16" t="n">
        <v>800</v>
      </c>
      <c r="H13" s="16" t="n">
        <v>51282</v>
      </c>
      <c r="I13" s="16"/>
      <c r="J13" s="16"/>
      <c r="K13" s="16" t="s">
        <v>526</v>
      </c>
    </row>
    <row r="14" customFormat="false" ht="74.6" hidden="false" customHeight="false" outlineLevel="0" collapsed="false">
      <c r="A14" s="15" t="n">
        <v>192539485</v>
      </c>
      <c r="B14" s="16" t="s">
        <v>511</v>
      </c>
      <c r="C14" s="16" t="s">
        <v>446</v>
      </c>
      <c r="D14" s="16" t="n">
        <v>8.49</v>
      </c>
      <c r="E14" s="16" t="n">
        <v>7.83</v>
      </c>
      <c r="F14" s="16" t="n">
        <v>15000</v>
      </c>
      <c r="G14" s="16" t="n">
        <v>600</v>
      </c>
      <c r="H14" s="16" t="n">
        <v>40000</v>
      </c>
      <c r="I14" s="16" t="s">
        <v>504</v>
      </c>
      <c r="J14" s="16"/>
      <c r="K14" s="16" t="s">
        <v>527</v>
      </c>
    </row>
    <row r="15" customFormat="false" ht="74.6" hidden="false" customHeight="false" outlineLevel="0" collapsed="false">
      <c r="A15" s="15" t="n">
        <v>332610492</v>
      </c>
      <c r="B15" s="16" t="s">
        <v>511</v>
      </c>
      <c r="C15" s="16" t="s">
        <v>528</v>
      </c>
      <c r="D15" s="16" t="n">
        <v>8.53</v>
      </c>
      <c r="E15" s="16" t="n">
        <v>6.1</v>
      </c>
      <c r="F15" s="16" t="n">
        <v>10000</v>
      </c>
      <c r="G15" s="16" t="n">
        <v>650</v>
      </c>
      <c r="H15" s="16" t="n">
        <v>65000</v>
      </c>
      <c r="I15" s="16" t="s">
        <v>529</v>
      </c>
      <c r="J15" s="16"/>
      <c r="K15" s="16" t="s">
        <v>530</v>
      </c>
    </row>
    <row r="16" customFormat="false" ht="74.6" hidden="false" customHeight="false" outlineLevel="0" collapsed="false">
      <c r="A16" s="15" t="n">
        <v>328295784</v>
      </c>
      <c r="B16" s="16" t="s">
        <v>531</v>
      </c>
      <c r="C16" s="16" t="s">
        <v>423</v>
      </c>
      <c r="D16" s="16" t="n">
        <v>8.89</v>
      </c>
      <c r="E16" s="16" t="n">
        <v>5.1</v>
      </c>
      <c r="F16" s="16" t="n">
        <v>4000</v>
      </c>
      <c r="G16" s="16" t="n">
        <v>1000</v>
      </c>
      <c r="H16" s="16" t="n">
        <v>250000</v>
      </c>
      <c r="I16" s="16" t="s">
        <v>516</v>
      </c>
      <c r="J16" s="16"/>
      <c r="K16" s="16" t="s">
        <v>532</v>
      </c>
    </row>
    <row r="17" customFormat="false" ht="74.6" hidden="false" customHeight="false" outlineLevel="0" collapsed="false">
      <c r="A17" s="15" t="n">
        <v>334567721</v>
      </c>
      <c r="B17" s="16" t="s">
        <v>531</v>
      </c>
      <c r="C17" s="16" t="s">
        <v>423</v>
      </c>
      <c r="D17" s="16" t="n">
        <v>9.37</v>
      </c>
      <c r="E17" s="16" t="n">
        <v>4.94</v>
      </c>
      <c r="F17" s="16" t="n">
        <v>2000</v>
      </c>
      <c r="G17" s="16" t="n">
        <v>184.7</v>
      </c>
      <c r="H17" s="16" t="n">
        <v>92340</v>
      </c>
      <c r="I17" s="16"/>
      <c r="J17" s="16"/>
      <c r="K17" s="16" t="s">
        <v>533</v>
      </c>
    </row>
    <row r="18" customFormat="false" ht="74.6" hidden="false" customHeight="false" outlineLevel="0" collapsed="false">
      <c r="A18" s="15" t="n">
        <v>332186074</v>
      </c>
      <c r="B18" s="16" t="s">
        <v>518</v>
      </c>
      <c r="C18" s="16" t="s">
        <v>534</v>
      </c>
      <c r="D18" s="16" t="n">
        <v>9.83</v>
      </c>
      <c r="E18" s="16" t="n">
        <v>5.55</v>
      </c>
      <c r="F18" s="16" t="n">
        <v>12000</v>
      </c>
      <c r="G18" s="16" t="n">
        <v>1850</v>
      </c>
      <c r="H18" s="16" t="n">
        <v>154167</v>
      </c>
      <c r="I18" s="16"/>
      <c r="J18" s="16"/>
      <c r="K18" s="16" t="s">
        <v>535</v>
      </c>
    </row>
    <row r="19" customFormat="false" ht="74.6" hidden="false" customHeight="false" outlineLevel="0" collapsed="false">
      <c r="A19" s="15" t="n">
        <v>331579923</v>
      </c>
      <c r="B19" s="16" t="s">
        <v>503</v>
      </c>
      <c r="C19" s="16" t="s">
        <v>536</v>
      </c>
      <c r="D19" s="16" t="n">
        <v>9.9</v>
      </c>
      <c r="E19" s="16" t="n">
        <v>15.12</v>
      </c>
      <c r="F19" s="16" t="n">
        <v>10000</v>
      </c>
      <c r="G19" s="16" t="n">
        <v>210</v>
      </c>
      <c r="H19" s="16" t="n">
        <v>21000</v>
      </c>
      <c r="I19" s="16"/>
      <c r="J19" s="16"/>
      <c r="K19" s="16" t="s">
        <v>537</v>
      </c>
    </row>
    <row r="20" customFormat="false" ht="74.6" hidden="false" customHeight="false" outlineLevel="0" collapsed="false">
      <c r="A20" s="15" t="n">
        <v>332789922</v>
      </c>
      <c r="B20" s="16" t="s">
        <v>511</v>
      </c>
      <c r="C20" s="16" t="s">
        <v>528</v>
      </c>
      <c r="D20" s="16" t="n">
        <v>9.95</v>
      </c>
      <c r="E20" s="16" t="n">
        <v>7.66</v>
      </c>
      <c r="F20" s="16" t="n">
        <v>7824</v>
      </c>
      <c r="G20" s="16" t="n">
        <v>417.7</v>
      </c>
      <c r="H20" s="16" t="n">
        <v>53389</v>
      </c>
      <c r="I20" s="16" t="s">
        <v>529</v>
      </c>
      <c r="J20" s="16"/>
      <c r="K20" s="16" t="s">
        <v>538</v>
      </c>
    </row>
    <row r="21" customFormat="false" ht="74.6" hidden="false" customHeight="false" outlineLevel="0" collapsed="false">
      <c r="A21" s="15" t="n">
        <v>334969970</v>
      </c>
      <c r="B21" s="16" t="s">
        <v>503</v>
      </c>
      <c r="C21" s="16" t="s">
        <v>539</v>
      </c>
      <c r="D21" s="16" t="n">
        <v>10.07</v>
      </c>
      <c r="E21" s="16" t="n">
        <v>12.74</v>
      </c>
      <c r="F21" s="16" t="n">
        <v>500</v>
      </c>
      <c r="G21" s="16" t="n">
        <v>11</v>
      </c>
      <c r="H21" s="16" t="n">
        <v>22000</v>
      </c>
      <c r="I21" s="16" t="s">
        <v>524</v>
      </c>
      <c r="J21" s="16" t="s">
        <v>540</v>
      </c>
      <c r="K21" s="16" t="s">
        <v>541</v>
      </c>
    </row>
    <row r="22" customFormat="false" ht="43.25" hidden="false" customHeight="false" outlineLevel="0" collapsed="false">
      <c r="A22" s="15" t="n">
        <v>324407002</v>
      </c>
      <c r="B22" s="16" t="s">
        <v>518</v>
      </c>
      <c r="C22" s="16" t="s">
        <v>534</v>
      </c>
      <c r="D22" s="16" t="n">
        <v>10.55</v>
      </c>
      <c r="E22" s="16" t="n">
        <v>6.48</v>
      </c>
      <c r="F22" s="16" t="n">
        <v>6300</v>
      </c>
      <c r="G22" s="16" t="n">
        <v>950</v>
      </c>
      <c r="H22" s="16" t="n">
        <v>150794</v>
      </c>
      <c r="I22" s="16" t="s">
        <v>529</v>
      </c>
      <c r="J22" s="16"/>
      <c r="K22" s="16" t="s">
        <v>542</v>
      </c>
    </row>
    <row r="23" customFormat="false" ht="74.6" hidden="false" customHeight="false" outlineLevel="0" collapsed="false">
      <c r="A23" s="15" t="n">
        <v>333449591</v>
      </c>
      <c r="B23" s="16" t="s">
        <v>543</v>
      </c>
      <c r="C23" s="16" t="s">
        <v>449</v>
      </c>
      <c r="D23" s="16" t="n">
        <v>10.91</v>
      </c>
      <c r="E23" s="16" t="n">
        <v>6.57</v>
      </c>
      <c r="F23" s="16" t="n">
        <v>2037</v>
      </c>
      <c r="G23" s="16" t="n">
        <v>375</v>
      </c>
      <c r="H23" s="16" t="n">
        <v>184094</v>
      </c>
      <c r="I23" s="16"/>
      <c r="J23" s="16"/>
      <c r="K23" s="16" t="s">
        <v>544</v>
      </c>
    </row>
    <row r="24" customFormat="false" ht="74.6" hidden="false" customHeight="false" outlineLevel="0" collapsed="false">
      <c r="A24" s="15" t="n">
        <v>332909253</v>
      </c>
      <c r="B24" s="16" t="s">
        <v>518</v>
      </c>
      <c r="C24" s="16" t="s">
        <v>545</v>
      </c>
      <c r="D24" s="16" t="n">
        <v>11.15</v>
      </c>
      <c r="E24" s="16" t="n">
        <v>10.09</v>
      </c>
      <c r="F24" s="16" t="n">
        <v>5800</v>
      </c>
      <c r="G24" s="16" t="n">
        <v>40</v>
      </c>
      <c r="H24" s="16" t="n">
        <v>6897</v>
      </c>
      <c r="I24" s="16"/>
      <c r="J24" s="16"/>
      <c r="K24" s="16" t="s">
        <v>546</v>
      </c>
    </row>
    <row r="25" customFormat="false" ht="74.6" hidden="false" customHeight="false" outlineLevel="0" collapsed="false">
      <c r="A25" s="15" t="n">
        <v>331327923</v>
      </c>
      <c r="B25" s="16" t="s">
        <v>531</v>
      </c>
      <c r="C25" s="16" t="s">
        <v>547</v>
      </c>
      <c r="D25" s="16" t="n">
        <v>11.51</v>
      </c>
      <c r="E25" s="16" t="n">
        <v>6.46</v>
      </c>
      <c r="F25" s="16" t="n">
        <v>4200</v>
      </c>
      <c r="G25" s="16" t="n">
        <v>280</v>
      </c>
      <c r="H25" s="16" t="n">
        <v>66667</v>
      </c>
      <c r="I25" s="16" t="s">
        <v>516</v>
      </c>
      <c r="J25" s="16"/>
      <c r="K25" s="16" t="s">
        <v>548</v>
      </c>
    </row>
    <row r="26" customFormat="false" ht="74.6" hidden="false" customHeight="false" outlineLevel="0" collapsed="false">
      <c r="A26" s="15" t="n">
        <v>330209210</v>
      </c>
      <c r="B26" s="16" t="s">
        <v>531</v>
      </c>
      <c r="C26" s="16" t="s">
        <v>547</v>
      </c>
      <c r="D26" s="16" t="n">
        <v>11.51</v>
      </c>
      <c r="E26" s="16" t="n">
        <v>6.27</v>
      </c>
      <c r="F26" s="16" t="n">
        <v>184000</v>
      </c>
      <c r="G26" s="16" t="n">
        <v>2300</v>
      </c>
      <c r="H26" s="16" t="n">
        <v>12500</v>
      </c>
      <c r="I26" s="16"/>
      <c r="J26" s="16"/>
      <c r="K26" s="16" t="s">
        <v>549</v>
      </c>
    </row>
    <row r="27" customFormat="false" ht="74.6" hidden="false" customHeight="false" outlineLevel="0" collapsed="false">
      <c r="A27" s="15" t="n">
        <v>325071081</v>
      </c>
      <c r="B27" s="16" t="s">
        <v>518</v>
      </c>
      <c r="C27" s="16" t="s">
        <v>550</v>
      </c>
      <c r="D27" s="16" t="n">
        <v>11.59</v>
      </c>
      <c r="E27" s="16" t="n">
        <v>10.9</v>
      </c>
      <c r="F27" s="16" t="n">
        <v>18800</v>
      </c>
      <c r="G27" s="16" t="n">
        <v>1200</v>
      </c>
      <c r="H27" s="16" t="n">
        <v>63830</v>
      </c>
      <c r="I27" s="16"/>
      <c r="J27" s="16"/>
      <c r="K27" s="16" t="s">
        <v>551</v>
      </c>
    </row>
    <row r="28" customFormat="false" ht="74.6" hidden="false" customHeight="false" outlineLevel="0" collapsed="false">
      <c r="A28" s="15" t="n">
        <v>334538130</v>
      </c>
      <c r="B28" s="16" t="s">
        <v>518</v>
      </c>
      <c r="C28" s="16" t="s">
        <v>433</v>
      </c>
      <c r="D28" s="16" t="n">
        <v>11.91</v>
      </c>
      <c r="E28" s="16" t="n">
        <v>12.46</v>
      </c>
      <c r="F28" s="16" t="n">
        <v>109600</v>
      </c>
      <c r="G28" s="16" t="n">
        <v>7000</v>
      </c>
      <c r="H28" s="16" t="n">
        <v>63869</v>
      </c>
      <c r="I28" s="16" t="s">
        <v>529</v>
      </c>
      <c r="J28" s="16"/>
      <c r="K28" s="16" t="s">
        <v>552</v>
      </c>
    </row>
    <row r="29" customFormat="false" ht="74.6" hidden="false" customHeight="false" outlineLevel="0" collapsed="false">
      <c r="A29" s="15" t="n">
        <v>333398591</v>
      </c>
      <c r="B29" s="16" t="s">
        <v>497</v>
      </c>
      <c r="C29" s="16" t="s">
        <v>553</v>
      </c>
      <c r="D29" s="16" t="n">
        <v>12.22</v>
      </c>
      <c r="E29" s="16" t="n">
        <v>15.07</v>
      </c>
      <c r="F29" s="16" t="n">
        <v>2280</v>
      </c>
      <c r="G29" s="16" t="n">
        <v>10.5</v>
      </c>
      <c r="H29" s="16" t="n">
        <v>4605</v>
      </c>
      <c r="I29" s="16" t="s">
        <v>521</v>
      </c>
      <c r="J29" s="16"/>
      <c r="K29" s="16" t="s">
        <v>554</v>
      </c>
    </row>
    <row r="30" customFormat="false" ht="53.7" hidden="false" customHeight="false" outlineLevel="0" collapsed="false">
      <c r="A30" s="15" t="n">
        <v>285429175</v>
      </c>
      <c r="B30" s="16" t="s">
        <v>555</v>
      </c>
      <c r="C30" s="16" t="s">
        <v>455</v>
      </c>
      <c r="D30" s="16" t="n">
        <v>12.24</v>
      </c>
      <c r="E30" s="16" t="n">
        <v>6.67</v>
      </c>
      <c r="F30" s="16" t="n">
        <v>800</v>
      </c>
      <c r="G30" s="16" t="n">
        <v>77</v>
      </c>
      <c r="H30" s="16" t="n">
        <v>96250</v>
      </c>
      <c r="I30" s="16"/>
      <c r="J30" s="16"/>
      <c r="K30" s="16" t="s">
        <v>556</v>
      </c>
    </row>
    <row r="31" customFormat="false" ht="53.7" hidden="false" customHeight="false" outlineLevel="0" collapsed="false">
      <c r="A31" s="15" t="n">
        <v>332695383</v>
      </c>
      <c r="B31" s="16" t="s">
        <v>531</v>
      </c>
      <c r="C31" s="16" t="s">
        <v>452</v>
      </c>
      <c r="D31" s="16" t="n">
        <v>12.64</v>
      </c>
      <c r="E31" s="16" t="n">
        <v>7.9</v>
      </c>
      <c r="F31" s="16" t="n">
        <v>10500</v>
      </c>
      <c r="G31" s="16" t="n">
        <v>1200</v>
      </c>
      <c r="H31" s="16" t="n">
        <v>114286</v>
      </c>
      <c r="I31" s="16"/>
      <c r="J31" s="16"/>
      <c r="K31" s="16" t="s">
        <v>557</v>
      </c>
    </row>
    <row r="32" customFormat="false" ht="74.6" hidden="false" customHeight="false" outlineLevel="0" collapsed="false">
      <c r="A32" s="15" t="n">
        <v>333164370</v>
      </c>
      <c r="B32" s="16" t="s">
        <v>511</v>
      </c>
      <c r="C32" s="16" t="s">
        <v>558</v>
      </c>
      <c r="D32" s="16" t="n">
        <v>13.15</v>
      </c>
      <c r="E32" s="16" t="n">
        <v>13.65</v>
      </c>
      <c r="F32" s="16" t="n">
        <v>3400</v>
      </c>
      <c r="G32" s="16" t="n">
        <v>15.5</v>
      </c>
      <c r="H32" s="16" t="n">
        <v>4559</v>
      </c>
      <c r="I32" s="16" t="s">
        <v>521</v>
      </c>
      <c r="J32" s="16"/>
      <c r="K32" s="16" t="s">
        <v>559</v>
      </c>
    </row>
    <row r="33" customFormat="false" ht="64.15" hidden="false" customHeight="false" outlineLevel="0" collapsed="false">
      <c r="A33" s="15" t="n">
        <v>331538444</v>
      </c>
      <c r="B33" s="16" t="s">
        <v>518</v>
      </c>
      <c r="C33" s="16" t="s">
        <v>560</v>
      </c>
      <c r="D33" s="16" t="n">
        <v>13.17</v>
      </c>
      <c r="E33" s="16" t="n">
        <v>15.17</v>
      </c>
      <c r="F33" s="16" t="n">
        <v>5600</v>
      </c>
      <c r="G33" s="16" t="n">
        <v>446</v>
      </c>
      <c r="H33" s="16" t="n">
        <v>79643</v>
      </c>
      <c r="I33" s="16"/>
      <c r="J33" s="16"/>
      <c r="K33" s="16" t="s">
        <v>561</v>
      </c>
    </row>
    <row r="34" customFormat="false" ht="74.6" hidden="false" customHeight="false" outlineLevel="0" collapsed="false">
      <c r="A34" s="15" t="n">
        <v>332654065</v>
      </c>
      <c r="B34" s="16" t="s">
        <v>518</v>
      </c>
      <c r="C34" s="16" t="s">
        <v>560</v>
      </c>
      <c r="D34" s="16" t="n">
        <v>13.17</v>
      </c>
      <c r="E34" s="16" t="n">
        <v>15.17</v>
      </c>
      <c r="F34" s="16" t="n">
        <v>5600</v>
      </c>
      <c r="G34" s="16" t="n">
        <v>446</v>
      </c>
      <c r="H34" s="16" t="n">
        <v>79643</v>
      </c>
      <c r="I34" s="16" t="s">
        <v>504</v>
      </c>
      <c r="J34" s="16"/>
      <c r="K34" s="16" t="s">
        <v>562</v>
      </c>
    </row>
    <row r="35" customFormat="false" ht="74.6" hidden="false" customHeight="false" outlineLevel="0" collapsed="false">
      <c r="A35" s="15" t="n">
        <v>334447088</v>
      </c>
      <c r="B35" s="16" t="s">
        <v>563</v>
      </c>
      <c r="C35" s="16" t="s">
        <v>564</v>
      </c>
      <c r="D35" s="16" t="n">
        <v>14.49</v>
      </c>
      <c r="E35" s="16" t="n">
        <v>10.05</v>
      </c>
      <c r="F35" s="16" t="n">
        <v>550000</v>
      </c>
      <c r="G35" s="16" t="n">
        <v>29000</v>
      </c>
      <c r="H35" s="16" t="n">
        <v>52727</v>
      </c>
      <c r="I35" s="16" t="s">
        <v>516</v>
      </c>
      <c r="J35" s="16"/>
      <c r="K35" s="16" t="s">
        <v>565</v>
      </c>
    </row>
    <row r="36" customFormat="false" ht="74.6" hidden="false" customHeight="false" outlineLevel="0" collapsed="false">
      <c r="A36" s="15" t="n">
        <v>323204547</v>
      </c>
      <c r="B36" s="16" t="s">
        <v>511</v>
      </c>
      <c r="C36" s="16" t="s">
        <v>472</v>
      </c>
      <c r="D36" s="16" t="n">
        <v>14.84</v>
      </c>
      <c r="E36" s="16" t="n">
        <v>12.28</v>
      </c>
      <c r="F36" s="16" t="n">
        <v>10000</v>
      </c>
      <c r="G36" s="16" t="n">
        <v>550</v>
      </c>
      <c r="H36" s="16" t="n">
        <v>55000</v>
      </c>
      <c r="I36" s="16" t="s">
        <v>516</v>
      </c>
      <c r="J36" s="16"/>
      <c r="K36" s="16" t="s">
        <v>566</v>
      </c>
    </row>
    <row r="37" customFormat="false" ht="74.6" hidden="false" customHeight="false" outlineLevel="0" collapsed="false">
      <c r="A37" s="15" t="n">
        <v>329766767</v>
      </c>
      <c r="B37" s="16" t="s">
        <v>531</v>
      </c>
      <c r="C37" s="16" t="s">
        <v>452</v>
      </c>
      <c r="D37" s="16" t="n">
        <v>14.95</v>
      </c>
      <c r="E37" s="16" t="n">
        <v>10.2</v>
      </c>
      <c r="F37" s="16" t="n">
        <v>5100</v>
      </c>
      <c r="G37" s="16" t="n">
        <v>260</v>
      </c>
      <c r="H37" s="16" t="n">
        <v>50980</v>
      </c>
      <c r="I37" s="16" t="s">
        <v>506</v>
      </c>
      <c r="J37" s="16"/>
      <c r="K37" s="16" t="s">
        <v>567</v>
      </c>
    </row>
    <row r="38" customFormat="false" ht="64.15" hidden="false" customHeight="false" outlineLevel="0" collapsed="false">
      <c r="A38" s="15" t="n">
        <v>333920334</v>
      </c>
      <c r="B38" s="16" t="s">
        <v>531</v>
      </c>
      <c r="C38" s="16" t="s">
        <v>452</v>
      </c>
      <c r="D38" s="16" t="n">
        <v>14.99</v>
      </c>
      <c r="E38" s="16" t="n">
        <v>10.15</v>
      </c>
      <c r="F38" s="16" t="n">
        <v>7029</v>
      </c>
      <c r="G38" s="16" t="n">
        <v>1100</v>
      </c>
      <c r="H38" s="16" t="n">
        <v>156495</v>
      </c>
      <c r="I38" s="16"/>
      <c r="J38" s="16"/>
      <c r="K38" s="16" t="s">
        <v>568</v>
      </c>
    </row>
    <row r="39" customFormat="false" ht="74.6" hidden="false" customHeight="false" outlineLevel="0" collapsed="false">
      <c r="A39" s="15" t="n">
        <v>330209213</v>
      </c>
      <c r="B39" s="16" t="s">
        <v>563</v>
      </c>
      <c r="C39" s="16" t="s">
        <v>569</v>
      </c>
      <c r="D39" s="16" t="n">
        <v>15.16</v>
      </c>
      <c r="E39" s="16" t="n">
        <v>9.92</v>
      </c>
      <c r="F39" s="16" t="n">
        <v>36</v>
      </c>
      <c r="G39" s="16" t="n">
        <v>1650</v>
      </c>
      <c r="H39" s="16" t="n">
        <v>45833333</v>
      </c>
      <c r="I39" s="16"/>
      <c r="J39" s="16"/>
      <c r="K39" s="16" t="s">
        <v>570</v>
      </c>
    </row>
    <row r="40" customFormat="false" ht="74.6" hidden="false" customHeight="false" outlineLevel="0" collapsed="false">
      <c r="A40" s="15" t="n">
        <v>334572433</v>
      </c>
      <c r="B40" s="16" t="s">
        <v>503</v>
      </c>
      <c r="C40" s="16" t="s">
        <v>571</v>
      </c>
      <c r="D40" s="16" t="n">
        <v>15.24</v>
      </c>
      <c r="E40" s="16" t="n">
        <v>16.9</v>
      </c>
      <c r="F40" s="16" t="n">
        <v>6150</v>
      </c>
      <c r="G40" s="16" t="n">
        <v>65</v>
      </c>
      <c r="H40" s="16" t="n">
        <v>10569</v>
      </c>
      <c r="I40" s="16" t="s">
        <v>572</v>
      </c>
      <c r="J40" s="16"/>
      <c r="K40" s="16" t="s">
        <v>573</v>
      </c>
    </row>
    <row r="41" customFormat="false" ht="74.6" hidden="false" customHeight="false" outlineLevel="0" collapsed="false">
      <c r="A41" s="15" t="n">
        <v>306954659</v>
      </c>
      <c r="B41" s="16" t="s">
        <v>543</v>
      </c>
      <c r="C41" s="16" t="s">
        <v>574</v>
      </c>
      <c r="D41" s="16" t="n">
        <v>16.2</v>
      </c>
      <c r="E41" s="16" t="n">
        <v>14.74</v>
      </c>
      <c r="F41" s="16" t="n">
        <v>639</v>
      </c>
      <c r="G41" s="16" t="n">
        <v>115</v>
      </c>
      <c r="H41" s="16" t="n">
        <v>179969</v>
      </c>
      <c r="I41" s="16" t="s">
        <v>575</v>
      </c>
      <c r="J41" s="16"/>
      <c r="K41" s="16" t="s">
        <v>576</v>
      </c>
    </row>
    <row r="42" customFormat="false" ht="64.15" hidden="false" customHeight="false" outlineLevel="0" collapsed="false">
      <c r="A42" s="15" t="n">
        <v>334610165</v>
      </c>
      <c r="B42" s="16" t="s">
        <v>511</v>
      </c>
      <c r="C42" s="16" t="s">
        <v>461</v>
      </c>
      <c r="D42" s="16" t="n">
        <v>16.64</v>
      </c>
      <c r="E42" s="16" t="n">
        <v>16.67</v>
      </c>
      <c r="F42" s="16" t="n">
        <v>16000</v>
      </c>
      <c r="G42" s="16" t="n">
        <v>90</v>
      </c>
      <c r="H42" s="16" t="n">
        <v>5625</v>
      </c>
      <c r="I42" s="16" t="s">
        <v>506</v>
      </c>
      <c r="J42" s="16"/>
      <c r="K42" s="16" t="s">
        <v>577</v>
      </c>
    </row>
    <row r="43" customFormat="false" ht="74.6" hidden="false" customHeight="false" outlineLevel="0" collapsed="false">
      <c r="A43" s="15" t="n">
        <v>324650646</v>
      </c>
      <c r="B43" s="16" t="s">
        <v>563</v>
      </c>
      <c r="C43" s="16" t="s">
        <v>564</v>
      </c>
      <c r="D43" s="16" t="n">
        <v>16.85</v>
      </c>
      <c r="E43" s="16" t="n">
        <v>12.56</v>
      </c>
      <c r="F43" s="16" t="n">
        <v>2955</v>
      </c>
      <c r="G43" s="16" t="n">
        <v>600</v>
      </c>
      <c r="H43" s="16" t="n">
        <v>203046</v>
      </c>
      <c r="I43" s="16"/>
      <c r="J43" s="16"/>
      <c r="K43" s="16" t="s">
        <v>578</v>
      </c>
    </row>
    <row r="44" customFormat="false" ht="74.6" hidden="false" customHeight="false" outlineLevel="0" collapsed="false">
      <c r="A44" s="15" t="n">
        <v>323449400</v>
      </c>
      <c r="B44" s="16" t="s">
        <v>555</v>
      </c>
      <c r="C44" s="16" t="s">
        <v>579</v>
      </c>
      <c r="D44" s="16" t="n">
        <v>16.94</v>
      </c>
      <c r="E44" s="16" t="n">
        <v>11.39</v>
      </c>
      <c r="F44" s="16" t="n">
        <v>1191</v>
      </c>
      <c r="G44" s="16" t="n">
        <v>106</v>
      </c>
      <c r="H44" s="16" t="n">
        <v>88992</v>
      </c>
      <c r="I44" s="16" t="s">
        <v>504</v>
      </c>
      <c r="J44" s="16"/>
      <c r="K44" s="16" t="s">
        <v>580</v>
      </c>
    </row>
    <row r="45" customFormat="false" ht="74.6" hidden="false" customHeight="false" outlineLevel="0" collapsed="false">
      <c r="A45" s="15" t="n">
        <v>328840911</v>
      </c>
      <c r="B45" s="16" t="s">
        <v>531</v>
      </c>
      <c r="C45" s="16" t="s">
        <v>581</v>
      </c>
      <c r="D45" s="16" t="n">
        <v>18.61</v>
      </c>
      <c r="E45" s="16" t="n">
        <v>15.41</v>
      </c>
      <c r="F45" s="16" t="n">
        <v>3900</v>
      </c>
      <c r="G45" s="16" t="n">
        <v>600</v>
      </c>
      <c r="H45" s="16" t="n">
        <v>153846</v>
      </c>
      <c r="I45" s="16"/>
      <c r="J45" s="16"/>
      <c r="K45" s="16" t="s">
        <v>582</v>
      </c>
    </row>
    <row r="46" customFormat="false" ht="64.15" hidden="false" customHeight="false" outlineLevel="0" collapsed="false">
      <c r="A46" s="15" t="n">
        <v>331721983</v>
      </c>
      <c r="B46" s="16" t="s">
        <v>543</v>
      </c>
      <c r="C46" s="16" t="s">
        <v>583</v>
      </c>
      <c r="D46" s="16" t="n">
        <v>20.2</v>
      </c>
      <c r="E46" s="16" t="n">
        <v>19.71</v>
      </c>
      <c r="F46" s="16" t="n">
        <v>19400</v>
      </c>
      <c r="G46" s="16" t="n">
        <v>200</v>
      </c>
      <c r="H46" s="16" t="n">
        <v>10309</v>
      </c>
      <c r="I46" s="16"/>
      <c r="J46" s="16"/>
      <c r="K46" s="16" t="s">
        <v>584</v>
      </c>
    </row>
    <row r="47" customFormat="false" ht="74.6" hidden="false" customHeight="false" outlineLevel="0" collapsed="false">
      <c r="A47" s="15" t="n">
        <v>329995866</v>
      </c>
      <c r="B47" s="16" t="s">
        <v>555</v>
      </c>
      <c r="C47" s="16" t="s">
        <v>478</v>
      </c>
      <c r="D47" s="16" t="n">
        <v>21.75</v>
      </c>
      <c r="E47" s="16" t="n">
        <v>16.36</v>
      </c>
      <c r="F47" s="16" t="n">
        <v>10600</v>
      </c>
      <c r="G47" s="16" t="n">
        <v>1900</v>
      </c>
      <c r="H47" s="16" t="n">
        <v>179245</v>
      </c>
      <c r="I47" s="16" t="s">
        <v>524</v>
      </c>
      <c r="J47" s="16"/>
      <c r="K47" s="16" t="s">
        <v>585</v>
      </c>
    </row>
    <row r="48" customFormat="false" ht="74.6" hidden="false" customHeight="false" outlineLevel="0" collapsed="false">
      <c r="A48" s="15" t="n">
        <v>326659405</v>
      </c>
      <c r="B48" s="16" t="s">
        <v>531</v>
      </c>
      <c r="C48" s="16" t="s">
        <v>586</v>
      </c>
      <c r="D48" s="16" t="n">
        <v>22.46</v>
      </c>
      <c r="E48" s="16" t="n">
        <v>19.29</v>
      </c>
      <c r="F48" s="16" t="n">
        <v>66000</v>
      </c>
      <c r="G48" s="16" t="n">
        <v>1800</v>
      </c>
      <c r="H48" s="16" t="n">
        <v>27273</v>
      </c>
      <c r="I48" s="16" t="s">
        <v>516</v>
      </c>
      <c r="J48" s="16"/>
      <c r="K48" s="16" t="s">
        <v>587</v>
      </c>
    </row>
    <row r="49" customFormat="false" ht="74.6" hidden="false" customHeight="false" outlineLevel="0" collapsed="false">
      <c r="A49" s="15" t="n">
        <v>330123001</v>
      </c>
      <c r="B49" s="16" t="s">
        <v>531</v>
      </c>
      <c r="C49" s="16" t="s">
        <v>586</v>
      </c>
      <c r="D49" s="16" t="n">
        <v>22.79</v>
      </c>
      <c r="E49" s="16" t="n">
        <v>19.13</v>
      </c>
      <c r="F49" s="16" t="n">
        <v>17200</v>
      </c>
      <c r="G49" s="16" t="n">
        <v>1500</v>
      </c>
      <c r="H49" s="16" t="n">
        <v>87209</v>
      </c>
      <c r="I49" s="16"/>
      <c r="J49" s="16"/>
      <c r="K49" s="16" t="s">
        <v>588</v>
      </c>
    </row>
    <row r="50" customFormat="false" ht="74.6" hidden="false" customHeight="false" outlineLevel="0" collapsed="false">
      <c r="A50" s="15" t="n">
        <v>331849316</v>
      </c>
      <c r="B50" s="16" t="s">
        <v>531</v>
      </c>
      <c r="C50" s="16" t="s">
        <v>589</v>
      </c>
      <c r="D50" s="16" t="n">
        <v>23.32</v>
      </c>
      <c r="E50" s="16" t="n">
        <v>18.79</v>
      </c>
      <c r="F50" s="16" t="n">
        <v>6800</v>
      </c>
      <c r="G50" s="16" t="n">
        <v>400</v>
      </c>
      <c r="H50" s="16" t="n">
        <v>58824</v>
      </c>
      <c r="I50" s="16"/>
      <c r="J50" s="16"/>
      <c r="K50" s="16" t="s">
        <v>590</v>
      </c>
    </row>
    <row r="51" customFormat="false" ht="74.6" hidden="false" customHeight="false" outlineLevel="0" collapsed="false">
      <c r="A51" s="15" t="n">
        <v>330736944</v>
      </c>
      <c r="B51" s="16" t="s">
        <v>531</v>
      </c>
      <c r="C51" s="16" t="s">
        <v>586</v>
      </c>
      <c r="D51" s="16" t="n">
        <v>23.76</v>
      </c>
      <c r="E51" s="16" t="n">
        <v>20.07</v>
      </c>
      <c r="F51" s="16" t="n">
        <v>7008</v>
      </c>
      <c r="G51" s="16" t="n">
        <v>99</v>
      </c>
      <c r="H51" s="16" t="n">
        <v>14127</v>
      </c>
      <c r="I51" s="16" t="s">
        <v>513</v>
      </c>
      <c r="J51" s="16"/>
      <c r="K51" s="16" t="s">
        <v>591</v>
      </c>
    </row>
    <row r="52" customFormat="false" ht="74.6" hidden="false" customHeight="false" outlineLevel="0" collapsed="false">
      <c r="A52" s="15" t="n">
        <v>335009028</v>
      </c>
      <c r="B52" s="16" t="s">
        <v>592</v>
      </c>
      <c r="C52" s="16"/>
      <c r="D52" s="16" t="n">
        <v>23.95</v>
      </c>
      <c r="E52" s="16" t="n">
        <v>18.13</v>
      </c>
      <c r="F52" s="16" t="n">
        <v>600</v>
      </c>
      <c r="G52" s="16" t="n">
        <v>30</v>
      </c>
      <c r="H52" s="16" t="n">
        <v>50000</v>
      </c>
      <c r="I52" s="16"/>
      <c r="J52" s="16"/>
      <c r="K52" s="16" t="s">
        <v>593</v>
      </c>
    </row>
    <row r="53" customFormat="false" ht="74.6" hidden="false" customHeight="false" outlineLevel="0" collapsed="false">
      <c r="A53" s="15" t="n">
        <v>334374919</v>
      </c>
      <c r="B53" s="16" t="s">
        <v>563</v>
      </c>
      <c r="C53" s="16" t="s">
        <v>594</v>
      </c>
      <c r="D53" s="16" t="n">
        <v>23.96</v>
      </c>
      <c r="E53" s="16" t="n">
        <v>18.11</v>
      </c>
      <c r="F53" s="16" t="n">
        <v>951</v>
      </c>
      <c r="G53" s="16" t="n">
        <v>78</v>
      </c>
      <c r="H53" s="16" t="n">
        <v>82019</v>
      </c>
      <c r="I53" s="16" t="s">
        <v>524</v>
      </c>
      <c r="J53" s="16"/>
      <c r="K53" s="16" t="s">
        <v>595</v>
      </c>
    </row>
    <row r="54" customFormat="false" ht="43.25" hidden="false" customHeight="false" outlineLevel="0" collapsed="false">
      <c r="A54" s="15" t="n">
        <v>331721958</v>
      </c>
      <c r="B54" s="16" t="s">
        <v>518</v>
      </c>
      <c r="C54" s="16" t="s">
        <v>596</v>
      </c>
      <c r="D54" s="16" t="n">
        <v>24.25</v>
      </c>
      <c r="E54" s="16" t="n">
        <v>24.32</v>
      </c>
      <c r="F54" s="16" t="n">
        <v>45400</v>
      </c>
      <c r="G54" s="16" t="n">
        <v>100</v>
      </c>
      <c r="H54" s="16" t="n">
        <v>2203</v>
      </c>
      <c r="I54" s="16"/>
      <c r="J54" s="16"/>
      <c r="K54" s="16" t="s">
        <v>597</v>
      </c>
    </row>
    <row r="55" customFormat="false" ht="74.6" hidden="false" customHeight="false" outlineLevel="0" collapsed="false">
      <c r="A55" s="15" t="n">
        <v>325071029</v>
      </c>
      <c r="B55" s="16" t="s">
        <v>592</v>
      </c>
      <c r="C55" s="16"/>
      <c r="D55" s="16" t="n">
        <v>24.27</v>
      </c>
      <c r="E55" s="16" t="n">
        <v>18.45</v>
      </c>
      <c r="F55" s="16" t="n">
        <v>35000</v>
      </c>
      <c r="G55" s="16" t="n">
        <v>680</v>
      </c>
      <c r="H55" s="16" t="n">
        <v>19429</v>
      </c>
      <c r="I55" s="16"/>
      <c r="J55" s="16"/>
      <c r="K55" s="16" t="s">
        <v>598</v>
      </c>
    </row>
    <row r="56" customFormat="false" ht="74.6" hidden="false" customHeight="false" outlineLevel="0" collapsed="false">
      <c r="A56" s="15" t="n">
        <v>332736315</v>
      </c>
      <c r="B56" s="16" t="s">
        <v>592</v>
      </c>
      <c r="C56" s="16"/>
      <c r="D56" s="16" t="n">
        <v>24.35</v>
      </c>
      <c r="E56" s="16" t="n">
        <v>18.54</v>
      </c>
      <c r="F56" s="16" t="n">
        <v>35000</v>
      </c>
      <c r="G56" s="16" t="n">
        <v>680</v>
      </c>
      <c r="H56" s="16" t="n">
        <v>19429</v>
      </c>
      <c r="I56" s="16"/>
      <c r="J56" s="16"/>
      <c r="K56" s="16" t="s">
        <v>599</v>
      </c>
    </row>
    <row r="57" customFormat="false" ht="74.6" hidden="false" customHeight="false" outlineLevel="0" collapsed="false">
      <c r="A57" s="15" t="n">
        <v>334209085</v>
      </c>
      <c r="B57" s="16" t="s">
        <v>592</v>
      </c>
      <c r="C57" s="16"/>
      <c r="D57" s="16" t="n">
        <v>24.4</v>
      </c>
      <c r="E57" s="16" t="n">
        <v>18.58</v>
      </c>
      <c r="F57" s="16" t="n">
        <v>35000</v>
      </c>
      <c r="G57" s="16" t="n">
        <v>599</v>
      </c>
      <c r="H57" s="16" t="n">
        <v>17114</v>
      </c>
      <c r="I57" s="16" t="s">
        <v>506</v>
      </c>
      <c r="J57" s="16"/>
      <c r="K57" s="16" t="s">
        <v>600</v>
      </c>
    </row>
    <row r="58" customFormat="false" ht="74.6" hidden="false" customHeight="false" outlineLevel="0" collapsed="false">
      <c r="A58" s="15" t="n">
        <v>332211105</v>
      </c>
      <c r="B58" s="16" t="s">
        <v>592</v>
      </c>
      <c r="C58" s="16"/>
      <c r="D58" s="16" t="n">
        <v>24.66</v>
      </c>
      <c r="E58" s="16" t="n">
        <v>18.91</v>
      </c>
      <c r="F58" s="16" t="n">
        <v>35000</v>
      </c>
      <c r="G58" s="16" t="n">
        <v>680</v>
      </c>
      <c r="H58" s="16" t="n">
        <v>19429</v>
      </c>
      <c r="I58" s="16"/>
      <c r="J58" s="16"/>
      <c r="K58" s="16" t="s">
        <v>601</v>
      </c>
    </row>
    <row r="59" customFormat="false" ht="74.6" hidden="false" customHeight="false" outlineLevel="0" collapsed="false">
      <c r="A59" s="15" t="n">
        <v>333165223</v>
      </c>
      <c r="B59" s="16" t="s">
        <v>555</v>
      </c>
      <c r="C59" s="16" t="s">
        <v>486</v>
      </c>
      <c r="D59" s="16" t="n">
        <v>24.68</v>
      </c>
      <c r="E59" s="16" t="n">
        <v>19.68</v>
      </c>
      <c r="F59" s="16" t="n">
        <v>4400</v>
      </c>
      <c r="G59" s="16" t="n">
        <v>26.4</v>
      </c>
      <c r="H59" s="16" t="n">
        <v>6000</v>
      </c>
      <c r="I59" s="16" t="s">
        <v>521</v>
      </c>
      <c r="J59" s="16"/>
      <c r="K59" s="16" t="s">
        <v>602</v>
      </c>
    </row>
    <row r="60" customFormat="false" ht="74.6" hidden="false" customHeight="false" outlineLevel="0" collapsed="false">
      <c r="A60" s="15" t="n">
        <v>331192173</v>
      </c>
      <c r="B60" s="16" t="s">
        <v>592</v>
      </c>
      <c r="C60" s="16"/>
      <c r="D60" s="16" t="n">
        <v>26.01</v>
      </c>
      <c r="E60" s="16" t="n">
        <v>20.24</v>
      </c>
      <c r="F60" s="16" t="n">
        <v>25000</v>
      </c>
      <c r="G60" s="16" t="n">
        <v>1000</v>
      </c>
      <c r="H60" s="16" t="n">
        <v>40000</v>
      </c>
      <c r="I60" s="16" t="s">
        <v>603</v>
      </c>
      <c r="J60" s="16"/>
      <c r="K60" s="16" t="s">
        <v>604</v>
      </c>
    </row>
    <row r="61" customFormat="false" ht="53.7" hidden="false" customHeight="false" outlineLevel="0" collapsed="false">
      <c r="A61" s="15" t="n">
        <v>314823488</v>
      </c>
      <c r="B61" s="16" t="s">
        <v>563</v>
      </c>
      <c r="C61" s="16"/>
      <c r="D61" s="16" t="n">
        <v>26.34</v>
      </c>
      <c r="E61" s="16" t="n">
        <v>20.49</v>
      </c>
      <c r="F61" s="16" t="n">
        <v>122300</v>
      </c>
      <c r="G61" s="16" t="n">
        <v>1950</v>
      </c>
      <c r="H61" s="16" t="n">
        <v>15944</v>
      </c>
      <c r="I61" s="16" t="s">
        <v>504</v>
      </c>
      <c r="J61" s="16"/>
      <c r="K61" s="16" t="s">
        <v>605</v>
      </c>
    </row>
    <row r="62" customFormat="false" ht="74.6" hidden="false" customHeight="false" outlineLevel="0" collapsed="false">
      <c r="A62" s="15" t="n">
        <v>333445368</v>
      </c>
      <c r="B62" s="16"/>
      <c r="C62" s="16"/>
      <c r="D62" s="16" t="n">
        <v>27.75</v>
      </c>
      <c r="E62" s="16" t="n">
        <v>28.01</v>
      </c>
      <c r="F62" s="16" t="n">
        <v>4703</v>
      </c>
      <c r="G62" s="16" t="n">
        <v>23.5</v>
      </c>
      <c r="H62" s="16" t="n">
        <v>5000</v>
      </c>
      <c r="I62" s="16" t="s">
        <v>529</v>
      </c>
      <c r="J62" s="16"/>
      <c r="K62" s="16" t="s">
        <v>606</v>
      </c>
    </row>
    <row r="63" customFormat="false" ht="64.15" hidden="false" customHeight="false" outlineLevel="0" collapsed="false">
      <c r="A63" s="15" t="n">
        <v>326323424</v>
      </c>
      <c r="B63" s="16" t="s">
        <v>592</v>
      </c>
      <c r="C63" s="16"/>
      <c r="D63" s="16" t="n">
        <v>28.05</v>
      </c>
      <c r="E63" s="16" t="n">
        <v>22.4</v>
      </c>
      <c r="F63" s="16" t="n">
        <v>11800</v>
      </c>
      <c r="G63" s="16" t="n">
        <v>330</v>
      </c>
      <c r="H63" s="16" t="n">
        <v>27966</v>
      </c>
      <c r="I63" s="16" t="s">
        <v>607</v>
      </c>
      <c r="J63" s="16"/>
      <c r="K63" s="16" t="s">
        <v>608</v>
      </c>
    </row>
    <row r="64" customFormat="false" ht="74.6" hidden="false" customHeight="false" outlineLevel="0" collapsed="false">
      <c r="A64" s="15" t="n">
        <v>327236819</v>
      </c>
      <c r="B64" s="16" t="s">
        <v>592</v>
      </c>
      <c r="C64" s="16"/>
      <c r="D64" s="16" t="n">
        <v>28.86</v>
      </c>
      <c r="E64" s="16" t="n">
        <v>23.11</v>
      </c>
      <c r="F64" s="16" t="n">
        <v>13400</v>
      </c>
      <c r="G64" s="16" t="n">
        <v>300</v>
      </c>
      <c r="H64" s="16" t="n">
        <v>22388</v>
      </c>
      <c r="I64" s="16" t="s">
        <v>603</v>
      </c>
      <c r="J64" s="16"/>
      <c r="K64" s="16" t="s">
        <v>609</v>
      </c>
    </row>
    <row r="65" customFormat="false" ht="74.6" hidden="false" customHeight="false" outlineLevel="0" collapsed="false">
      <c r="A65" s="15" t="n">
        <v>323281405</v>
      </c>
      <c r="B65" s="16" t="s">
        <v>592</v>
      </c>
      <c r="C65" s="16"/>
      <c r="D65" s="16" t="n">
        <v>29.93</v>
      </c>
      <c r="E65" s="16" t="n">
        <v>24.27</v>
      </c>
      <c r="F65" s="16" t="n">
        <v>3408</v>
      </c>
      <c r="G65" s="16" t="n">
        <v>160</v>
      </c>
      <c r="H65" s="16" t="n">
        <v>46948</v>
      </c>
      <c r="I65" s="16" t="s">
        <v>524</v>
      </c>
      <c r="J65" s="16"/>
      <c r="K65" s="16" t="s">
        <v>610</v>
      </c>
    </row>
    <row r="66" customFormat="false" ht="53.7" hidden="false" customHeight="false" outlineLevel="0" collapsed="false">
      <c r="A66" s="15" t="n">
        <v>332862733</v>
      </c>
      <c r="B66" s="16" t="s">
        <v>592</v>
      </c>
      <c r="C66" s="16"/>
      <c r="D66" s="16" t="n">
        <v>30.13</v>
      </c>
      <c r="E66" s="16" t="n">
        <v>24.47</v>
      </c>
      <c r="F66" s="16" t="n">
        <v>9925</v>
      </c>
      <c r="G66" s="16" t="n">
        <v>75</v>
      </c>
      <c r="H66" s="16" t="n">
        <v>7557</v>
      </c>
      <c r="I66" s="16" t="s">
        <v>529</v>
      </c>
      <c r="J66" s="16"/>
      <c r="K66" s="16" t="s">
        <v>611</v>
      </c>
    </row>
    <row r="67" customFormat="false" ht="74.6" hidden="false" customHeight="false" outlineLevel="0" collapsed="false">
      <c r="A67" s="15" t="n">
        <v>319400512</v>
      </c>
      <c r="B67" s="16" t="s">
        <v>592</v>
      </c>
      <c r="C67" s="16"/>
      <c r="D67" s="16" t="n">
        <v>31.53</v>
      </c>
      <c r="E67" s="16" t="n">
        <v>26.65</v>
      </c>
      <c r="F67" s="16" t="n">
        <v>7850</v>
      </c>
      <c r="G67" s="16" t="n">
        <v>57</v>
      </c>
      <c r="H67" s="16" t="n">
        <v>7261</v>
      </c>
      <c r="I67" s="16"/>
      <c r="J67" s="16"/>
      <c r="K67" s="16" t="s">
        <v>612</v>
      </c>
    </row>
    <row r="68" customFormat="false" ht="74.6" hidden="false" customHeight="false" outlineLevel="0" collapsed="false">
      <c r="A68" s="15" t="n">
        <v>334958495</v>
      </c>
      <c r="B68" s="16" t="s">
        <v>592</v>
      </c>
      <c r="C68" s="16"/>
      <c r="D68" s="16" t="n">
        <v>31.61</v>
      </c>
      <c r="E68" s="16" t="n">
        <v>25.87</v>
      </c>
      <c r="F68" s="16" t="n">
        <v>25000</v>
      </c>
      <c r="G68" s="16" t="n">
        <v>550</v>
      </c>
      <c r="H68" s="16" t="n">
        <v>22000</v>
      </c>
      <c r="I68" s="16" t="s">
        <v>504</v>
      </c>
      <c r="J68" s="16"/>
      <c r="K68" s="16" t="s">
        <v>613</v>
      </c>
    </row>
    <row r="69" customFormat="false" ht="74.6" hidden="false" customHeight="false" outlineLevel="0" collapsed="false">
      <c r="A69" s="15" t="n">
        <v>303671573</v>
      </c>
      <c r="B69" s="16" t="s">
        <v>592</v>
      </c>
      <c r="C69" s="16"/>
      <c r="D69" s="16" t="n">
        <v>32.53</v>
      </c>
      <c r="E69" s="16" t="n">
        <v>26.69</v>
      </c>
      <c r="F69" s="16" t="n">
        <v>7900</v>
      </c>
      <c r="G69" s="16" t="n">
        <v>48</v>
      </c>
      <c r="H69" s="16" t="n">
        <v>6076</v>
      </c>
      <c r="I69" s="16" t="s">
        <v>607</v>
      </c>
      <c r="J69" s="16"/>
      <c r="K69" s="16" t="s">
        <v>614</v>
      </c>
    </row>
    <row r="70" customFormat="false" ht="74.6" hidden="false" customHeight="false" outlineLevel="0" collapsed="false">
      <c r="A70" s="15" t="n">
        <v>332553598</v>
      </c>
      <c r="B70" s="16" t="s">
        <v>592</v>
      </c>
      <c r="C70" s="16"/>
      <c r="D70" s="16" t="n">
        <v>32.86</v>
      </c>
      <c r="E70" s="16" t="n">
        <v>27.14</v>
      </c>
      <c r="F70" s="16" t="n">
        <v>13400</v>
      </c>
      <c r="G70" s="16" t="n">
        <v>140</v>
      </c>
      <c r="H70" s="16" t="n">
        <v>10448</v>
      </c>
      <c r="I70" s="16"/>
      <c r="J70" s="16"/>
      <c r="K70" s="16" t="s">
        <v>615</v>
      </c>
    </row>
    <row r="71" customFormat="false" ht="74.6" hidden="false" customHeight="false" outlineLevel="0" collapsed="false">
      <c r="A71" s="15" t="n">
        <v>334407095</v>
      </c>
      <c r="B71" s="16" t="s">
        <v>592</v>
      </c>
      <c r="C71" s="16"/>
      <c r="D71" s="16" t="n">
        <v>33.07</v>
      </c>
      <c r="E71" s="16" t="n">
        <v>27.57</v>
      </c>
      <c r="F71" s="16" t="n">
        <v>32500</v>
      </c>
      <c r="G71" s="16" t="n">
        <v>629</v>
      </c>
      <c r="H71" s="16" t="n">
        <v>19354</v>
      </c>
      <c r="I71" s="16" t="s">
        <v>529</v>
      </c>
      <c r="J71" s="16"/>
      <c r="K71" s="16" t="s">
        <v>616</v>
      </c>
    </row>
    <row r="72" customFormat="false" ht="74.6" hidden="false" customHeight="false" outlineLevel="0" collapsed="false">
      <c r="A72" s="15" t="n">
        <v>334235697</v>
      </c>
      <c r="B72" s="16" t="s">
        <v>592</v>
      </c>
      <c r="C72" s="16"/>
      <c r="D72" s="16" t="n">
        <v>33.07</v>
      </c>
      <c r="E72" s="16" t="n">
        <v>27.57</v>
      </c>
      <c r="F72" s="16" t="n">
        <v>32500</v>
      </c>
      <c r="G72" s="16" t="n">
        <v>629</v>
      </c>
      <c r="H72" s="16" t="n">
        <v>19354</v>
      </c>
      <c r="I72" s="16"/>
      <c r="J72" s="16"/>
      <c r="K72" s="16" t="s">
        <v>617</v>
      </c>
    </row>
    <row r="73" customFormat="false" ht="43.25" hidden="false" customHeight="false" outlineLevel="0" collapsed="false">
      <c r="A73" s="15" t="n">
        <v>333031833</v>
      </c>
      <c r="B73" s="16" t="s">
        <v>618</v>
      </c>
      <c r="C73" s="16" t="s">
        <v>619</v>
      </c>
      <c r="D73" s="16" t="n">
        <v>34.24</v>
      </c>
      <c r="E73" s="16" t="n">
        <v>34.09</v>
      </c>
      <c r="F73" s="16" t="n">
        <v>1388</v>
      </c>
      <c r="G73" s="16" t="n">
        <v>13.3</v>
      </c>
      <c r="H73" s="16" t="n">
        <v>9616</v>
      </c>
      <c r="I73" s="16"/>
      <c r="J73" s="16"/>
      <c r="K73" s="16" t="s">
        <v>620</v>
      </c>
    </row>
    <row r="74" customFormat="false" ht="74.6" hidden="false" customHeight="false" outlineLevel="0" collapsed="false">
      <c r="A74" s="15" t="n">
        <v>332055776</v>
      </c>
      <c r="B74" s="16" t="s">
        <v>592</v>
      </c>
      <c r="C74" s="16"/>
      <c r="D74" s="16" t="n">
        <v>34.44</v>
      </c>
      <c r="E74" s="16" t="n">
        <v>29.35</v>
      </c>
      <c r="F74" s="16" t="n">
        <v>16200</v>
      </c>
      <c r="G74" s="16" t="n">
        <v>151.9</v>
      </c>
      <c r="H74" s="16" t="n">
        <v>9379</v>
      </c>
      <c r="I74" s="16" t="s">
        <v>575</v>
      </c>
      <c r="J74" s="16"/>
      <c r="K74" s="16" t="s">
        <v>621</v>
      </c>
    </row>
    <row r="75" customFormat="false" ht="74.6" hidden="false" customHeight="false" outlineLevel="0" collapsed="false">
      <c r="A75" s="15" t="n">
        <v>331881395</v>
      </c>
      <c r="B75" s="16" t="s">
        <v>592</v>
      </c>
      <c r="C75" s="16"/>
      <c r="D75" s="16" t="n">
        <v>34.44</v>
      </c>
      <c r="E75" s="16" t="n">
        <v>29.35</v>
      </c>
      <c r="F75" s="16" t="n">
        <v>16200</v>
      </c>
      <c r="G75" s="16" t="n">
        <v>151.9</v>
      </c>
      <c r="H75" s="16" t="n">
        <v>9379</v>
      </c>
      <c r="I75" s="16" t="s">
        <v>575</v>
      </c>
      <c r="J75" s="16"/>
      <c r="K75" s="16" t="s">
        <v>621</v>
      </c>
    </row>
    <row r="76" customFormat="false" ht="74.6" hidden="false" customHeight="false" outlineLevel="0" collapsed="false">
      <c r="A76" s="15" t="n">
        <v>326619828</v>
      </c>
      <c r="B76" s="16" t="s">
        <v>592</v>
      </c>
      <c r="C76" s="16"/>
      <c r="D76" s="16" t="n">
        <v>35.34</v>
      </c>
      <c r="E76" s="16" t="n">
        <v>30.24</v>
      </c>
      <c r="F76" s="16" t="n">
        <v>8500</v>
      </c>
      <c r="G76" s="16" t="n">
        <v>137</v>
      </c>
      <c r="H76" s="16" t="n">
        <v>16118</v>
      </c>
      <c r="I76" s="16" t="s">
        <v>504</v>
      </c>
      <c r="J76" s="16"/>
      <c r="K76" s="16" t="s">
        <v>622</v>
      </c>
    </row>
    <row r="77" customFormat="false" ht="74.6" hidden="false" customHeight="false" outlineLevel="0" collapsed="false">
      <c r="A77" s="15" t="n">
        <v>317392929</v>
      </c>
      <c r="B77" s="16" t="s">
        <v>592</v>
      </c>
      <c r="C77" s="16"/>
      <c r="D77" s="16" t="n">
        <v>35.54</v>
      </c>
      <c r="E77" s="16" t="n">
        <v>29.68</v>
      </c>
      <c r="F77" s="16" t="n">
        <v>22000</v>
      </c>
      <c r="G77" s="16" t="n">
        <v>48</v>
      </c>
      <c r="H77" s="16" t="n">
        <v>2182</v>
      </c>
      <c r="I77" s="16" t="s">
        <v>623</v>
      </c>
      <c r="J77" s="16"/>
      <c r="K77" s="16" t="s">
        <v>624</v>
      </c>
    </row>
    <row r="78" customFormat="false" ht="53.7" hidden="false" customHeight="false" outlineLevel="0" collapsed="false">
      <c r="A78" s="15" t="n">
        <v>333604412</v>
      </c>
      <c r="B78" s="16" t="s">
        <v>592</v>
      </c>
      <c r="C78" s="16"/>
      <c r="D78" s="16" t="n">
        <v>36.03</v>
      </c>
      <c r="E78" s="16" t="n">
        <v>30.76</v>
      </c>
      <c r="F78" s="16" t="n">
        <v>200000</v>
      </c>
      <c r="G78" s="16" t="n">
        <v>175</v>
      </c>
      <c r="H78" s="16" t="n">
        <v>875</v>
      </c>
      <c r="I78" s="16" t="s">
        <v>603</v>
      </c>
      <c r="J78" s="16"/>
      <c r="K78" s="16" t="s">
        <v>625</v>
      </c>
    </row>
    <row r="79" customFormat="false" ht="32.8" hidden="false" customHeight="false" outlineLevel="0" collapsed="false">
      <c r="A79" s="15" t="n">
        <v>331103352</v>
      </c>
      <c r="B79" s="16" t="s">
        <v>592</v>
      </c>
      <c r="C79" s="16"/>
      <c r="D79" s="16" t="n">
        <v>36.06</v>
      </c>
      <c r="E79" s="16" t="n">
        <v>31.12</v>
      </c>
      <c r="F79" s="16" t="n">
        <v>4200</v>
      </c>
      <c r="G79" s="16" t="n">
        <v>65</v>
      </c>
      <c r="H79" s="16" t="n">
        <v>15476</v>
      </c>
      <c r="I79" s="16" t="s">
        <v>623</v>
      </c>
      <c r="J79" s="16"/>
      <c r="K79" s="16" t="s">
        <v>626</v>
      </c>
    </row>
    <row r="80" customFormat="false" ht="43.25" hidden="false" customHeight="false" outlineLevel="0" collapsed="false">
      <c r="A80" s="15" t="n">
        <v>331113334</v>
      </c>
      <c r="B80" s="16" t="s">
        <v>592</v>
      </c>
      <c r="C80" s="16"/>
      <c r="D80" s="16" t="n">
        <v>36.12</v>
      </c>
      <c r="E80" s="16" t="n">
        <v>30.94</v>
      </c>
      <c r="F80" s="16" t="n">
        <v>27700</v>
      </c>
      <c r="G80" s="16" t="n">
        <v>12</v>
      </c>
      <c r="H80" s="16" t="n">
        <v>433</v>
      </c>
      <c r="I80" s="16" t="s">
        <v>623</v>
      </c>
      <c r="J80" s="16"/>
      <c r="K80" s="16" t="s">
        <v>627</v>
      </c>
    </row>
    <row r="81" customFormat="false" ht="43.25" hidden="false" customHeight="false" outlineLevel="0" collapsed="false">
      <c r="A81" s="15" t="n">
        <v>334238931</v>
      </c>
      <c r="B81" s="16" t="s">
        <v>592</v>
      </c>
      <c r="C81" s="16"/>
      <c r="D81" s="16" t="n">
        <v>36.65</v>
      </c>
      <c r="E81" s="16" t="n">
        <v>31.34</v>
      </c>
      <c r="F81" s="16" t="n">
        <v>600</v>
      </c>
      <c r="G81" s="16" t="n">
        <v>6.5</v>
      </c>
      <c r="H81" s="16" t="n">
        <v>10833</v>
      </c>
      <c r="I81" s="16"/>
      <c r="J81" s="16"/>
      <c r="K81" s="16" t="s">
        <v>628</v>
      </c>
    </row>
    <row r="82" customFormat="false" ht="74.6" hidden="false" customHeight="false" outlineLevel="0" collapsed="false">
      <c r="A82" s="15" t="n">
        <v>326727810</v>
      </c>
      <c r="B82" s="16" t="s">
        <v>618</v>
      </c>
      <c r="C82" s="16" t="s">
        <v>629</v>
      </c>
      <c r="D82" s="16" t="n">
        <v>36.93</v>
      </c>
      <c r="E82" s="16" t="n">
        <v>36.1</v>
      </c>
      <c r="F82" s="16" t="n">
        <v>3925</v>
      </c>
      <c r="G82" s="16" t="n">
        <v>60</v>
      </c>
      <c r="H82" s="16" t="n">
        <v>15287</v>
      </c>
      <c r="I82" s="16"/>
      <c r="J82" s="16"/>
      <c r="K82" s="16" t="s">
        <v>630</v>
      </c>
    </row>
    <row r="83" customFormat="false" ht="74.6" hidden="false" customHeight="false" outlineLevel="0" collapsed="false">
      <c r="A83" s="15" t="n">
        <v>333573302</v>
      </c>
      <c r="B83" s="16" t="s">
        <v>618</v>
      </c>
      <c r="C83" s="16" t="s">
        <v>629</v>
      </c>
      <c r="D83" s="16" t="n">
        <v>38.53</v>
      </c>
      <c r="E83" s="16" t="n">
        <v>37.51</v>
      </c>
      <c r="F83" s="16" t="n">
        <v>7402</v>
      </c>
      <c r="G83" s="16" t="n">
        <v>155</v>
      </c>
      <c r="H83" s="16" t="n">
        <v>20940</v>
      </c>
      <c r="I83" s="16"/>
      <c r="J83" s="16"/>
      <c r="K83" s="16" t="s">
        <v>631</v>
      </c>
    </row>
    <row r="84" customFormat="false" ht="53.7" hidden="false" customHeight="false" outlineLevel="0" collapsed="false">
      <c r="A84" s="15" t="n">
        <v>331113479</v>
      </c>
      <c r="B84" s="16" t="s">
        <v>592</v>
      </c>
      <c r="C84" s="16"/>
      <c r="D84" s="16" t="n">
        <v>38.58</v>
      </c>
      <c r="E84" s="16" t="n">
        <v>33.54</v>
      </c>
      <c r="F84" s="16" t="n">
        <v>23300</v>
      </c>
      <c r="G84" s="16" t="n">
        <v>35</v>
      </c>
      <c r="H84" s="16" t="n">
        <v>1502</v>
      </c>
      <c r="I84" s="16" t="s">
        <v>623</v>
      </c>
      <c r="J84" s="16"/>
      <c r="K84" s="16" t="s">
        <v>632</v>
      </c>
    </row>
    <row r="85" customFormat="false" ht="74.6" hidden="false" customHeight="false" outlineLevel="0" collapsed="false">
      <c r="A85" s="15" t="n">
        <v>333573304</v>
      </c>
      <c r="B85" s="16" t="s">
        <v>618</v>
      </c>
      <c r="C85" s="16" t="s">
        <v>629</v>
      </c>
      <c r="D85" s="16" t="n">
        <v>38.98</v>
      </c>
      <c r="E85" s="16" t="n">
        <v>38</v>
      </c>
      <c r="F85" s="16" t="n">
        <v>8821</v>
      </c>
      <c r="G85" s="16" t="n">
        <v>145</v>
      </c>
      <c r="H85" s="16" t="n">
        <v>16438</v>
      </c>
      <c r="I85" s="16"/>
      <c r="J85" s="16"/>
      <c r="K85" s="16" t="s">
        <v>633</v>
      </c>
    </row>
    <row r="86" customFormat="false" ht="43.25" hidden="false" customHeight="false" outlineLevel="0" collapsed="false">
      <c r="A86" s="15" t="n">
        <v>334124349</v>
      </c>
      <c r="B86" s="16" t="s">
        <v>592</v>
      </c>
      <c r="C86" s="16"/>
      <c r="D86" s="16" t="n">
        <v>39.05</v>
      </c>
      <c r="E86" s="16" t="n">
        <v>34.03</v>
      </c>
      <c r="F86" s="16" t="n">
        <v>6000</v>
      </c>
      <c r="G86" s="16" t="n">
        <v>300</v>
      </c>
      <c r="H86" s="16" t="n">
        <v>50000</v>
      </c>
      <c r="I86" s="16" t="s">
        <v>516</v>
      </c>
      <c r="J86" s="16"/>
      <c r="K86" s="16" t="s">
        <v>634</v>
      </c>
    </row>
    <row r="87" customFormat="false" ht="53.7" hidden="false" customHeight="false" outlineLevel="0" collapsed="false">
      <c r="A87" s="15" t="n">
        <v>331681786</v>
      </c>
      <c r="B87" s="16" t="s">
        <v>635</v>
      </c>
      <c r="C87" s="16"/>
      <c r="D87" s="16" t="n">
        <v>40.33</v>
      </c>
      <c r="E87" s="16" t="n">
        <v>34.57</v>
      </c>
      <c r="F87" s="16" t="n">
        <v>3100</v>
      </c>
      <c r="G87" s="16" t="n">
        <v>169</v>
      </c>
      <c r="H87" s="16" t="n">
        <v>54516</v>
      </c>
      <c r="I87" s="16" t="s">
        <v>516</v>
      </c>
      <c r="J87" s="16"/>
      <c r="K87" s="16" t="s">
        <v>636</v>
      </c>
    </row>
    <row r="88" customFormat="false" ht="64.15" hidden="false" customHeight="false" outlineLevel="0" collapsed="false">
      <c r="A88" s="15" t="n">
        <v>331102745</v>
      </c>
      <c r="B88" s="16" t="s">
        <v>592</v>
      </c>
      <c r="C88" s="16"/>
      <c r="D88" s="16" t="n">
        <v>40.35</v>
      </c>
      <c r="E88" s="16" t="n">
        <v>34.6</v>
      </c>
      <c r="F88" s="16" t="n">
        <v>1900</v>
      </c>
      <c r="G88" s="16" t="n">
        <v>60</v>
      </c>
      <c r="H88" s="16" t="n">
        <v>31579</v>
      </c>
      <c r="I88" s="16" t="s">
        <v>524</v>
      </c>
      <c r="J88" s="16"/>
      <c r="K88" s="16" t="s">
        <v>637</v>
      </c>
    </row>
    <row r="89" customFormat="false" ht="74.6" hidden="false" customHeight="false" outlineLevel="0" collapsed="false">
      <c r="A89" s="15" t="n">
        <v>326037290</v>
      </c>
      <c r="B89" s="16" t="s">
        <v>592</v>
      </c>
      <c r="C89" s="16"/>
      <c r="D89" s="16" t="n">
        <v>40.82</v>
      </c>
      <c r="E89" s="16" t="n">
        <v>35.04</v>
      </c>
      <c r="F89" s="16" t="n">
        <v>1500</v>
      </c>
      <c r="G89" s="16" t="n">
        <v>10.5</v>
      </c>
      <c r="H89" s="16" t="n">
        <v>7000</v>
      </c>
      <c r="I89" s="16" t="s">
        <v>623</v>
      </c>
      <c r="J89" s="16"/>
      <c r="K89" s="16" t="s">
        <v>638</v>
      </c>
    </row>
    <row r="90" customFormat="false" ht="74.6" hidden="false" customHeight="false" outlineLevel="0" collapsed="false">
      <c r="A90" s="15" t="n">
        <v>301009654</v>
      </c>
      <c r="B90" s="16" t="s">
        <v>592</v>
      </c>
      <c r="C90" s="16"/>
      <c r="D90" s="16" t="n">
        <v>40.87</v>
      </c>
      <c r="E90" s="16" t="n">
        <v>35.13</v>
      </c>
      <c r="F90" s="16" t="n">
        <v>1500</v>
      </c>
      <c r="G90" s="16" t="n">
        <v>1.5</v>
      </c>
      <c r="H90" s="16" t="n">
        <v>1000</v>
      </c>
      <c r="I90" s="16" t="s">
        <v>521</v>
      </c>
      <c r="J90" s="16"/>
      <c r="K90" s="16" t="s">
        <v>639</v>
      </c>
    </row>
    <row r="91" customFormat="false" ht="64.15" hidden="false" customHeight="false" outlineLevel="0" collapsed="false">
      <c r="A91" s="15" t="n">
        <v>325962115</v>
      </c>
      <c r="B91" s="16" t="s">
        <v>592</v>
      </c>
      <c r="C91" s="16"/>
      <c r="D91" s="16" t="n">
        <v>41.17</v>
      </c>
      <c r="E91" s="16" t="n">
        <v>35.4</v>
      </c>
      <c r="F91" s="16" t="n">
        <v>174500</v>
      </c>
      <c r="G91" s="16" t="n">
        <v>1400</v>
      </c>
      <c r="H91" s="16" t="n">
        <v>8023</v>
      </c>
      <c r="I91" s="16"/>
      <c r="J91" s="16"/>
      <c r="K91" s="16" t="s">
        <v>640</v>
      </c>
    </row>
    <row r="92" customFormat="false" ht="74.6" hidden="false" customHeight="false" outlineLevel="0" collapsed="false">
      <c r="A92" s="15" t="n">
        <v>334265403</v>
      </c>
      <c r="B92" s="16" t="s">
        <v>592</v>
      </c>
      <c r="C92" s="16"/>
      <c r="D92" s="16" t="n">
        <v>41.4</v>
      </c>
      <c r="E92" s="16" t="n">
        <v>35.65</v>
      </c>
      <c r="F92" s="16" t="n">
        <v>3148</v>
      </c>
      <c r="G92" s="16" t="n">
        <v>45</v>
      </c>
      <c r="H92" s="16" t="n">
        <v>14295</v>
      </c>
      <c r="I92" s="16" t="s">
        <v>513</v>
      </c>
      <c r="J92" s="16" t="s">
        <v>641</v>
      </c>
      <c r="K92" s="16" t="s">
        <v>642</v>
      </c>
    </row>
    <row r="93" customFormat="false" ht="64.15" hidden="false" customHeight="false" outlineLevel="0" collapsed="false">
      <c r="A93" s="15" t="n">
        <v>331626479</v>
      </c>
      <c r="B93" s="16" t="s">
        <v>635</v>
      </c>
      <c r="C93" s="16"/>
      <c r="D93" s="16" t="n">
        <v>41.4</v>
      </c>
      <c r="E93" s="16" t="n">
        <v>35.55</v>
      </c>
      <c r="F93" s="16" t="n">
        <v>5000</v>
      </c>
      <c r="G93" s="16" t="n">
        <v>120</v>
      </c>
      <c r="H93" s="16" t="n">
        <v>24000</v>
      </c>
      <c r="I93" s="16" t="s">
        <v>607</v>
      </c>
      <c r="J93" s="16"/>
      <c r="K93" s="16" t="s">
        <v>643</v>
      </c>
    </row>
    <row r="94" customFormat="false" ht="74.6" hidden="false" customHeight="false" outlineLevel="0" collapsed="false">
      <c r="A94" s="15" t="n">
        <v>334579933</v>
      </c>
      <c r="B94" s="16" t="s">
        <v>635</v>
      </c>
      <c r="C94" s="16"/>
      <c r="D94" s="16" t="n">
        <v>41.93</v>
      </c>
      <c r="E94" s="16" t="n">
        <v>36.08</v>
      </c>
      <c r="F94" s="16" t="n">
        <v>193</v>
      </c>
      <c r="G94" s="16" t="n">
        <v>265</v>
      </c>
      <c r="H94" s="16" t="n">
        <v>1373057</v>
      </c>
      <c r="I94" s="16" t="s">
        <v>572</v>
      </c>
      <c r="J94" s="16"/>
      <c r="K94" s="16" t="s">
        <v>644</v>
      </c>
    </row>
    <row r="95" customFormat="false" ht="74.6" hidden="false" customHeight="false" outlineLevel="0" collapsed="false">
      <c r="A95" s="15" t="n">
        <v>334005205</v>
      </c>
      <c r="B95" s="16" t="s">
        <v>635</v>
      </c>
      <c r="C95" s="16"/>
      <c r="D95" s="16" t="n">
        <v>41.99</v>
      </c>
      <c r="E95" s="16" t="n">
        <v>36.22</v>
      </c>
      <c r="F95" s="16" t="n">
        <v>12000</v>
      </c>
      <c r="G95" s="16" t="n">
        <v>420</v>
      </c>
      <c r="H95" s="16" t="n">
        <v>35000</v>
      </c>
      <c r="I95" s="16" t="s">
        <v>529</v>
      </c>
      <c r="J95" s="16"/>
      <c r="K95" s="16" t="s">
        <v>645</v>
      </c>
    </row>
    <row r="96" customFormat="false" ht="74.6" hidden="false" customHeight="false" outlineLevel="0" collapsed="false">
      <c r="A96" s="15" t="n">
        <v>333185004</v>
      </c>
      <c r="B96" s="16" t="s">
        <v>635</v>
      </c>
      <c r="C96" s="16"/>
      <c r="D96" s="16" t="n">
        <v>42.3</v>
      </c>
      <c r="E96" s="16" t="n">
        <v>36.49</v>
      </c>
      <c r="F96" s="16" t="n">
        <v>12000</v>
      </c>
      <c r="G96" s="16" t="n">
        <v>80</v>
      </c>
      <c r="H96" s="16" t="n">
        <v>6667</v>
      </c>
      <c r="I96" s="16" t="s">
        <v>623</v>
      </c>
      <c r="J96" s="16"/>
      <c r="K96" s="16" t="s">
        <v>646</v>
      </c>
    </row>
    <row r="97" customFormat="false" ht="64.15" hidden="false" customHeight="false" outlineLevel="0" collapsed="false">
      <c r="A97" s="15" t="n">
        <v>300028159</v>
      </c>
      <c r="B97" s="16" t="s">
        <v>635</v>
      </c>
      <c r="C97" s="16"/>
      <c r="D97" s="16" t="n">
        <v>42.52</v>
      </c>
      <c r="E97" s="16" t="n">
        <v>36.67</v>
      </c>
      <c r="F97" s="16" t="n">
        <v>16000</v>
      </c>
      <c r="G97" s="16" t="n">
        <v>20</v>
      </c>
      <c r="H97" s="16" t="n">
        <v>1250</v>
      </c>
      <c r="I97" s="16" t="s">
        <v>603</v>
      </c>
      <c r="J97" s="16"/>
      <c r="K97" s="16" t="s">
        <v>647</v>
      </c>
    </row>
    <row r="98" customFormat="false" ht="53.7" hidden="false" customHeight="false" outlineLevel="0" collapsed="false">
      <c r="A98" s="15" t="n">
        <v>237430581</v>
      </c>
      <c r="B98" s="16" t="s">
        <v>635</v>
      </c>
      <c r="C98" s="16"/>
      <c r="D98" s="16" t="n">
        <v>42.88</v>
      </c>
      <c r="E98" s="16" t="n">
        <v>37.02</v>
      </c>
      <c r="F98" s="16" t="n">
        <v>10100</v>
      </c>
      <c r="G98" s="16" t="n">
        <v>1.5</v>
      </c>
      <c r="H98" s="16" t="n">
        <v>149</v>
      </c>
      <c r="I98" s="16" t="s">
        <v>623</v>
      </c>
      <c r="J98" s="16"/>
      <c r="K98" s="16" t="s">
        <v>648</v>
      </c>
    </row>
    <row r="99" customFormat="false" ht="74.6" hidden="false" customHeight="false" outlineLevel="0" collapsed="false">
      <c r="A99" s="15" t="n">
        <v>334887235</v>
      </c>
      <c r="B99" s="16" t="s">
        <v>635</v>
      </c>
      <c r="C99" s="16"/>
      <c r="D99" s="16" t="n">
        <v>43.27</v>
      </c>
      <c r="E99" s="16" t="n">
        <v>37.42</v>
      </c>
      <c r="F99" s="16" t="n">
        <v>2219</v>
      </c>
      <c r="G99" s="16" t="n">
        <v>24.2</v>
      </c>
      <c r="H99" s="16" t="n">
        <v>10906</v>
      </c>
      <c r="I99" s="16"/>
      <c r="J99" s="16"/>
      <c r="K99" s="16" t="s">
        <v>649</v>
      </c>
    </row>
    <row r="100" customFormat="false" ht="43.25" hidden="false" customHeight="false" outlineLevel="0" collapsed="false">
      <c r="A100" s="15" t="n">
        <v>331136573</v>
      </c>
      <c r="B100" s="16" t="s">
        <v>635</v>
      </c>
      <c r="C100" s="16"/>
      <c r="D100" s="16" t="n">
        <v>43.4</v>
      </c>
      <c r="E100" s="16" t="n">
        <v>37.56</v>
      </c>
      <c r="F100" s="16" t="n">
        <v>57900</v>
      </c>
      <c r="G100" s="16" t="n">
        <v>5</v>
      </c>
      <c r="H100" s="16" t="n">
        <v>86</v>
      </c>
      <c r="I100" s="16" t="s">
        <v>623</v>
      </c>
      <c r="J100" s="16"/>
      <c r="K100" s="16" t="s">
        <v>650</v>
      </c>
    </row>
    <row r="101" customFormat="false" ht="74.6" hidden="false" customHeight="false" outlineLevel="0" collapsed="false">
      <c r="A101" s="15" t="n">
        <v>331140146</v>
      </c>
      <c r="B101" s="16" t="s">
        <v>635</v>
      </c>
      <c r="C101" s="16"/>
      <c r="D101" s="16" t="n">
        <v>43.4</v>
      </c>
      <c r="E101" s="16" t="n">
        <v>37.56</v>
      </c>
      <c r="F101" s="16" t="n">
        <v>12800</v>
      </c>
      <c r="G101" s="16" t="n">
        <v>86</v>
      </c>
      <c r="H101" s="16" t="n">
        <v>6719</v>
      </c>
      <c r="I101" s="16" t="s">
        <v>607</v>
      </c>
      <c r="J101" s="16"/>
      <c r="K101" s="16" t="s">
        <v>651</v>
      </c>
    </row>
    <row r="102" customFormat="false" ht="74.6" hidden="false" customHeight="false" outlineLevel="0" collapsed="false">
      <c r="A102" s="15" t="n">
        <v>312296455</v>
      </c>
      <c r="B102" s="16" t="s">
        <v>635</v>
      </c>
      <c r="C102" s="16"/>
      <c r="D102" s="16" t="n">
        <v>43.93</v>
      </c>
      <c r="E102" s="16" t="n">
        <v>38.11</v>
      </c>
      <c r="F102" s="16" t="n">
        <v>446000</v>
      </c>
      <c r="G102" s="16" t="n">
        <v>150</v>
      </c>
      <c r="H102" s="16" t="n">
        <v>336</v>
      </c>
      <c r="I102" s="16" t="s">
        <v>623</v>
      </c>
      <c r="J102" s="16"/>
      <c r="K102" s="16" t="s">
        <v>652</v>
      </c>
    </row>
    <row r="103" customFormat="false" ht="74.6" hidden="false" customHeight="false" outlineLevel="0" collapsed="false">
      <c r="A103" s="15" t="n">
        <v>309281470</v>
      </c>
      <c r="B103" s="16" t="s">
        <v>635</v>
      </c>
      <c r="C103" s="16"/>
      <c r="D103" s="16" t="n">
        <v>44.74</v>
      </c>
      <c r="E103" s="16" t="n">
        <v>39.6</v>
      </c>
      <c r="F103" s="16" t="n">
        <v>16800</v>
      </c>
      <c r="G103" s="16" t="n">
        <v>160</v>
      </c>
      <c r="H103" s="16" t="n">
        <v>9524</v>
      </c>
      <c r="I103" s="16" t="s">
        <v>529</v>
      </c>
      <c r="J103" s="16"/>
      <c r="K103" s="16" t="s">
        <v>653</v>
      </c>
    </row>
    <row r="104" customFormat="false" ht="74.6" hidden="false" customHeight="false" outlineLevel="0" collapsed="false">
      <c r="A104" s="15" t="n">
        <v>309284425</v>
      </c>
      <c r="B104" s="16" t="s">
        <v>635</v>
      </c>
      <c r="C104" s="16"/>
      <c r="D104" s="16" t="n">
        <v>44.74</v>
      </c>
      <c r="E104" s="16" t="n">
        <v>39.6</v>
      </c>
      <c r="F104" s="16" t="n">
        <v>45000</v>
      </c>
      <c r="G104" s="16" t="n">
        <v>575</v>
      </c>
      <c r="H104" s="16" t="n">
        <v>12778</v>
      </c>
      <c r="I104" s="16" t="s">
        <v>529</v>
      </c>
      <c r="J104" s="16"/>
      <c r="K104" s="16" t="s">
        <v>654</v>
      </c>
    </row>
    <row r="105" customFormat="false" ht="74.6" hidden="false" customHeight="false" outlineLevel="0" collapsed="false">
      <c r="A105" s="15" t="n">
        <v>326421862</v>
      </c>
      <c r="B105" s="16" t="s">
        <v>635</v>
      </c>
      <c r="C105" s="16"/>
      <c r="D105" s="16" t="n">
        <v>44.82</v>
      </c>
      <c r="E105" s="16" t="n">
        <v>39.66</v>
      </c>
      <c r="F105" s="16" t="n">
        <v>45000</v>
      </c>
      <c r="G105" s="16" t="n">
        <v>550</v>
      </c>
      <c r="H105" s="16" t="n">
        <v>12222</v>
      </c>
      <c r="I105" s="16"/>
      <c r="J105" s="16"/>
      <c r="K105" s="16" t="s">
        <v>655</v>
      </c>
    </row>
    <row r="106" customFormat="false" ht="74.6" hidden="false" customHeight="false" outlineLevel="0" collapsed="false">
      <c r="A106" s="15" t="n">
        <v>332780974</v>
      </c>
      <c r="B106" s="16" t="s">
        <v>635</v>
      </c>
      <c r="C106" s="16"/>
      <c r="D106" s="16" t="n">
        <v>45.37</v>
      </c>
      <c r="E106" s="16" t="n">
        <v>40.19</v>
      </c>
      <c r="F106" s="16" t="n">
        <v>22000</v>
      </c>
      <c r="G106" s="16" t="n">
        <v>150</v>
      </c>
      <c r="H106" s="16" t="n">
        <v>6818</v>
      </c>
      <c r="I106" s="16"/>
      <c r="J106" s="16"/>
      <c r="K106" s="16" t="s">
        <v>656</v>
      </c>
    </row>
    <row r="107" customFormat="false" ht="74.6" hidden="false" customHeight="false" outlineLevel="0" collapsed="false">
      <c r="A107" s="15" t="n">
        <v>331843452</v>
      </c>
      <c r="B107" s="16" t="s">
        <v>635</v>
      </c>
      <c r="C107" s="16"/>
      <c r="D107" s="16" t="n">
        <v>45.43</v>
      </c>
      <c r="E107" s="16" t="n">
        <v>39.68</v>
      </c>
      <c r="F107" s="16" t="n">
        <v>10000</v>
      </c>
      <c r="G107" s="16" t="n">
        <v>200</v>
      </c>
      <c r="H107" s="16" t="n">
        <v>20000</v>
      </c>
      <c r="I107" s="16" t="s">
        <v>529</v>
      </c>
      <c r="J107" s="16"/>
      <c r="K107" s="16" t="s">
        <v>657</v>
      </c>
    </row>
    <row r="108" customFormat="false" ht="53.7" hidden="false" customHeight="false" outlineLevel="0" collapsed="false">
      <c r="A108" s="15" t="n">
        <v>334974301</v>
      </c>
      <c r="B108" s="16" t="s">
        <v>635</v>
      </c>
      <c r="C108" s="16"/>
      <c r="D108" s="16" t="n">
        <v>45.49</v>
      </c>
      <c r="E108" s="16" t="n">
        <v>40.29</v>
      </c>
      <c r="F108" s="16" t="n">
        <v>5000</v>
      </c>
      <c r="G108" s="16" t="n">
        <v>60</v>
      </c>
      <c r="H108" s="16" t="n">
        <v>12000</v>
      </c>
      <c r="I108" s="16" t="s">
        <v>529</v>
      </c>
      <c r="J108" s="16"/>
      <c r="K108" s="16" t="s">
        <v>658</v>
      </c>
    </row>
    <row r="109" customFormat="false" ht="53.7" hidden="false" customHeight="false" outlineLevel="0" collapsed="false">
      <c r="A109" s="15" t="n">
        <v>333155855</v>
      </c>
      <c r="B109" s="16" t="s">
        <v>635</v>
      </c>
      <c r="C109" s="16"/>
      <c r="D109" s="16" t="n">
        <v>47.25</v>
      </c>
      <c r="E109" s="16" t="n">
        <v>41.39</v>
      </c>
      <c r="F109" s="16" t="n">
        <v>2390</v>
      </c>
      <c r="G109" s="16" t="n">
        <v>7</v>
      </c>
      <c r="H109" s="16" t="n">
        <v>2929</v>
      </c>
      <c r="I109" s="16" t="s">
        <v>603</v>
      </c>
      <c r="J109" s="16"/>
      <c r="K109" s="16" t="s">
        <v>659</v>
      </c>
    </row>
    <row r="110" customFormat="false" ht="74.6" hidden="false" customHeight="false" outlineLevel="0" collapsed="false">
      <c r="A110" s="15" t="n">
        <v>334273931</v>
      </c>
      <c r="B110" s="16" t="s">
        <v>635</v>
      </c>
      <c r="C110" s="16"/>
      <c r="D110" s="16" t="n">
        <v>47.94</v>
      </c>
      <c r="E110" s="16" t="n">
        <v>42.49</v>
      </c>
      <c r="F110" s="16" t="n">
        <v>70000</v>
      </c>
      <c r="G110" s="16" t="n">
        <v>290</v>
      </c>
      <c r="H110" s="16" t="n">
        <v>4143</v>
      </c>
      <c r="I110" s="16"/>
      <c r="J110" s="16"/>
      <c r="K110" s="16" t="s">
        <v>660</v>
      </c>
    </row>
    <row r="111" customFormat="false" ht="74.6" hidden="false" customHeight="false" outlineLevel="0" collapsed="false">
      <c r="A111" s="15" t="n">
        <v>333237788</v>
      </c>
      <c r="B111" s="16" t="s">
        <v>635</v>
      </c>
      <c r="C111" s="16"/>
      <c r="D111" s="16" t="n">
        <v>50.41</v>
      </c>
      <c r="E111" s="16" t="n">
        <v>45.13</v>
      </c>
      <c r="F111" s="16" t="n">
        <v>72000</v>
      </c>
      <c r="G111" s="16" t="n">
        <v>99</v>
      </c>
      <c r="H111" s="16" t="n">
        <v>1375</v>
      </c>
      <c r="I111" s="16" t="s">
        <v>521</v>
      </c>
      <c r="J111" s="16" t="s">
        <v>661</v>
      </c>
      <c r="K111" s="16" t="s">
        <v>662</v>
      </c>
    </row>
    <row r="112" customFormat="false" ht="74.6" hidden="false" customHeight="false" outlineLevel="0" collapsed="false">
      <c r="A112" s="15" t="n">
        <v>329876776</v>
      </c>
      <c r="B112" s="16" t="s">
        <v>635</v>
      </c>
      <c r="C112" s="16"/>
      <c r="D112" s="16" t="n">
        <v>51.95</v>
      </c>
      <c r="E112" s="16" t="n">
        <v>46.18</v>
      </c>
      <c r="F112" s="16" t="n">
        <v>8350</v>
      </c>
      <c r="G112" s="16" t="n">
        <v>130</v>
      </c>
      <c r="H112" s="16" t="n">
        <v>15569</v>
      </c>
      <c r="I112" s="16"/>
      <c r="J112" s="16"/>
      <c r="K112" s="16" t="s">
        <v>663</v>
      </c>
    </row>
    <row r="113" customFormat="false" ht="43.25" hidden="false" customHeight="false" outlineLevel="0" collapsed="false">
      <c r="A113" s="15" t="n">
        <v>331415622</v>
      </c>
      <c r="B113" s="16" t="s">
        <v>635</v>
      </c>
      <c r="C113" s="16"/>
      <c r="D113" s="16" t="n">
        <v>53.51</v>
      </c>
      <c r="E113" s="16" t="n">
        <v>47.71</v>
      </c>
      <c r="F113" s="16" t="n">
        <v>7540</v>
      </c>
      <c r="G113" s="16" t="n">
        <v>75</v>
      </c>
      <c r="H113" s="16" t="n">
        <v>9947</v>
      </c>
      <c r="I113" s="16" t="s">
        <v>529</v>
      </c>
      <c r="J113" s="16"/>
      <c r="K113" s="16" t="s">
        <v>664</v>
      </c>
    </row>
    <row r="114" customFormat="false" ht="74.6" hidden="false" customHeight="false" outlineLevel="0" collapsed="false">
      <c r="A114" s="15" t="n">
        <v>320234118</v>
      </c>
      <c r="B114" s="16" t="s">
        <v>635</v>
      </c>
      <c r="C114" s="16"/>
      <c r="D114" s="16" t="n">
        <v>54.72</v>
      </c>
      <c r="E114" s="16" t="n">
        <v>49.02</v>
      </c>
      <c r="F114" s="16" t="n">
        <v>38500</v>
      </c>
      <c r="G114" s="16" t="n">
        <v>280</v>
      </c>
      <c r="H114" s="16" t="n">
        <v>7273</v>
      </c>
      <c r="I114" s="16" t="s">
        <v>603</v>
      </c>
      <c r="J114" s="16"/>
      <c r="K114" s="16" t="s">
        <v>665</v>
      </c>
    </row>
    <row r="115" customFormat="false" ht="74.6" hidden="false" customHeight="false" outlineLevel="0" collapsed="false">
      <c r="A115" s="15" t="n">
        <v>333678819</v>
      </c>
      <c r="B115" s="16" t="s">
        <v>635</v>
      </c>
      <c r="C115" s="16"/>
      <c r="D115" s="16" t="n">
        <v>57.22</v>
      </c>
      <c r="E115" s="16" t="n">
        <v>51.38</v>
      </c>
      <c r="F115" s="16" t="n">
        <v>5300</v>
      </c>
      <c r="G115" s="16" t="n">
        <v>47.7</v>
      </c>
      <c r="H115" s="16" t="n">
        <v>9000</v>
      </c>
      <c r="I115" s="16" t="s">
        <v>506</v>
      </c>
      <c r="J115" s="16"/>
      <c r="K115" s="16" t="s">
        <v>666</v>
      </c>
    </row>
    <row r="116" customFormat="false" ht="74.6" hidden="false" customHeight="false" outlineLevel="0" collapsed="false">
      <c r="A116" s="15" t="n">
        <v>315624126</v>
      </c>
      <c r="B116" s="16" t="s">
        <v>635</v>
      </c>
      <c r="C116" s="16"/>
      <c r="D116" s="16" t="n">
        <v>59.62</v>
      </c>
      <c r="E116" s="16" t="n">
        <v>53.87</v>
      </c>
      <c r="F116" s="16" t="n">
        <v>1500</v>
      </c>
      <c r="G116" s="16" t="n">
        <v>16</v>
      </c>
      <c r="H116" s="16" t="n">
        <v>10667</v>
      </c>
      <c r="I116" s="16" t="s">
        <v>524</v>
      </c>
      <c r="J116" s="16"/>
      <c r="K116" s="16" t="s">
        <v>667</v>
      </c>
    </row>
    <row r="117" customFormat="false" ht="74.6" hidden="false" customHeight="false" outlineLevel="0" collapsed="false">
      <c r="A117" s="15" t="n">
        <v>334003930</v>
      </c>
      <c r="B117" s="16" t="s">
        <v>635</v>
      </c>
      <c r="C117" s="16"/>
      <c r="D117" s="16" t="n">
        <v>59.93</v>
      </c>
      <c r="E117" s="16" t="n">
        <v>54.2</v>
      </c>
      <c r="F117" s="16" t="n">
        <v>190000</v>
      </c>
      <c r="G117" s="16" t="n">
        <v>290</v>
      </c>
      <c r="H117" s="16" t="n">
        <v>1526</v>
      </c>
      <c r="I117" s="16" t="s">
        <v>521</v>
      </c>
      <c r="J117" s="16"/>
      <c r="K117" s="16" t="s">
        <v>668</v>
      </c>
    </row>
    <row r="118" customFormat="false" ht="74.6" hidden="false" customHeight="false" outlineLevel="0" collapsed="false">
      <c r="A118" s="15" t="n">
        <v>325072268</v>
      </c>
      <c r="B118" s="16" t="s">
        <v>635</v>
      </c>
      <c r="C118" s="16"/>
      <c r="D118" s="16" t="n">
        <v>60.02</v>
      </c>
      <c r="E118" s="16" t="n">
        <v>54.63</v>
      </c>
      <c r="F118" s="16" t="n">
        <v>60000</v>
      </c>
      <c r="G118" s="16" t="n">
        <v>140</v>
      </c>
      <c r="H118" s="16" t="n">
        <v>2333</v>
      </c>
      <c r="I118" s="16" t="s">
        <v>501</v>
      </c>
      <c r="J118" s="16"/>
      <c r="K118" s="16" t="s">
        <v>669</v>
      </c>
    </row>
    <row r="119" customFormat="false" ht="32.8" hidden="false" customHeight="false" outlineLevel="0" collapsed="false">
      <c r="A119" s="15" t="n">
        <v>329172942</v>
      </c>
      <c r="B119" s="16" t="s">
        <v>635</v>
      </c>
      <c r="C119" s="16"/>
      <c r="D119" s="16" t="n">
        <v>60.63</v>
      </c>
      <c r="E119" s="16" t="n">
        <v>54.95</v>
      </c>
      <c r="F119" s="16" t="n">
        <v>9900</v>
      </c>
      <c r="G119" s="16" t="n">
        <v>89</v>
      </c>
      <c r="H119" s="16" t="n">
        <v>8990</v>
      </c>
      <c r="I119" s="16"/>
      <c r="J119" s="16"/>
      <c r="K119" s="16" t="s">
        <v>670</v>
      </c>
    </row>
  </sheetData>
  <autoFilter ref="A1:K119"/>
  <hyperlinks>
    <hyperlink ref="A2" r:id="rId1" display="https://www.cian.ru/sale/commercial/331721981/?mlSearchSessionGuid=8000fa91f9cd2d013b654383861ce543"/>
    <hyperlink ref="A3" r:id="rId2" display="https://www.cian.ru/sale/commercial/328834818/?mlSearchSessionGuid=8000fa91f9cd2d013b654383861ce543"/>
    <hyperlink ref="A4" r:id="rId3" display="https://www.cian.ru/sale/commercial/334643903/?mlSearchSessionGuid=8000fa91f9cd2d013b654383861ce543"/>
    <hyperlink ref="A5" r:id="rId4" display="https://www.cian.ru/sale/commercial/296392365/?mlSearchSessionGuid=8000fa91f9cd2d013b654383861ce543"/>
    <hyperlink ref="A6" r:id="rId5" display="https://www.cian.ru/sale/commercial/327938890/?mlSearchSessionGuid=8000fa91f9cd2d013b654383861ce543"/>
    <hyperlink ref="A7" r:id="rId6" display="https://www.cian.ru/sale/commercial/328843173/?mlSearchSessionGuid=8000fa91f9cd2d013b654383861ce543"/>
    <hyperlink ref="A8" r:id="rId7" display="https://www.cian.ru/sale/commercial/326192196/?mlSearchSessionGuid=8000fa91f9cd2d013b654383861ce543"/>
    <hyperlink ref="A9" r:id="rId8" display="https://www.cian.ru/sale/commercial/334889588/?mlSearchSessionGuid=8000fa91f9cd2d013b654383861ce543"/>
    <hyperlink ref="A10" r:id="rId9" display="https://www.cian.ru/sale/commercial/331348779/?mlSearchSessionGuid=8000fa91f9cd2d013b654383861ce543"/>
    <hyperlink ref="A11" r:id="rId10" display="https://www.cian.ru/sale/commercial/333889918/?mlSearchSessionGuid=8000fa91f9cd2d013b654383861ce543"/>
    <hyperlink ref="A12" r:id="rId11" display="https://www.cian.ru/sale/commercial/334434394/?mlSearchSessionGuid=8000fa91f9cd2d013b654383861ce543"/>
    <hyperlink ref="A13" r:id="rId12" display="https://www.cian.ru/sale/commercial/332355836/?mlSearchSessionGuid=8000fa91f9cd2d013b654383861ce543"/>
    <hyperlink ref="A14" r:id="rId13" display="https://www.cian.ru/sale/commercial/192539485/?mlSearchSessionGuid=8000fa91f9cd2d013b654383861ce543"/>
    <hyperlink ref="A15" r:id="rId14" display="https://www.cian.ru/sale/commercial/332610492/?mlSearchSessionGuid=8000fa91f9cd2d013b654383861ce543"/>
    <hyperlink ref="A16" r:id="rId15" display="https://www.cian.ru/sale/commercial/328295784/?mlSearchSessionGuid=8000fa91f9cd2d013b654383861ce543"/>
    <hyperlink ref="A17" r:id="rId16" display="https://www.cian.ru/sale/commercial/334567721/?mlSearchSessionGuid=8000fa91f9cd2d013b654383861ce543"/>
    <hyperlink ref="A18" r:id="rId17" display="https://www.cian.ru/sale/commercial/332186074/?mlSearchSessionGuid=8000fa91f9cd2d013b654383861ce543"/>
    <hyperlink ref="A19" r:id="rId18" display="https://www.cian.ru/sale/commercial/331579923/?mlSearchSessionGuid=8000fa91f9cd2d013b654383861ce543"/>
    <hyperlink ref="A20" r:id="rId19" display="https://www.cian.ru/sale/commercial/332789922/?mlSearchSessionGuid=8000fa91f9cd2d013b654383861ce543"/>
    <hyperlink ref="A21" r:id="rId20" display="https://www.cian.ru/sale/commercial/334969970/?mlSearchSessionGuid=8000fa91f9cd2d013b654383861ce543"/>
    <hyperlink ref="A22" r:id="rId21" display="https://www.cian.ru/sale/commercial/324407002/?mlSearchSessionGuid=8000fa91f9cd2d013b654383861ce543"/>
    <hyperlink ref="A23" r:id="rId22" display="https://www.cian.ru/sale/commercial/333449591/?mlSearchSessionGuid=8000fa91f9cd2d013b654383861ce543"/>
    <hyperlink ref="A24" r:id="rId23" display="https://www.cian.ru/sale/commercial/332909253/?mlSearchSessionGuid=8000fa91f9cd2d013b654383861ce543"/>
    <hyperlink ref="A25" r:id="rId24" display="https://www.cian.ru/sale/commercial/331327923/?mlSearchSessionGuid=8000fa91f9cd2d013b654383861ce543"/>
    <hyperlink ref="A26" r:id="rId25" display="https://www.cian.ru/sale/commercial/330209210/?mlSearchSessionGuid=8000fa91f9cd2d013b654383861ce543"/>
    <hyperlink ref="A27" r:id="rId26" display="https://www.cian.ru/sale/commercial/325071081/?mlSearchSessionGuid=8000fa91f9cd2d013b654383861ce543"/>
    <hyperlink ref="A28" r:id="rId27" display="https://www.cian.ru/sale/commercial/334538130/?mlSearchSessionGuid=8000fa91f9cd2d013b654383861ce543"/>
    <hyperlink ref="A29" r:id="rId28" display="https://www.cian.ru/sale/commercial/333398591/?mlSearchSessionGuid=8000fa91f9cd2d013b654383861ce543"/>
    <hyperlink ref="A30" r:id="rId29" display="https://www.cian.ru/sale/commercial/285429175/?mlSearchSessionGuid=8000fa91f9cd2d013b654383861ce543"/>
    <hyperlink ref="A31" r:id="rId30" display="https://www.cian.ru/sale/commercial/332695383/?mlSearchSessionGuid=8000fa91f9cd2d013b654383861ce543"/>
    <hyperlink ref="A32" r:id="rId31" display="https://www.cian.ru/sale/commercial/333164370/?mlSearchSessionGuid=8000fa91f9cd2d013b654383861ce543"/>
    <hyperlink ref="A33" r:id="rId32" display="https://www.cian.ru/sale/commercial/331538444/?mlSearchSessionGuid=8000fa91f9cd2d013b654383861ce543"/>
    <hyperlink ref="A34" r:id="rId33" display="https://www.cian.ru/sale/commercial/332654065/?mlSearchSessionGuid=8000fa91f9cd2d013b654383861ce543"/>
    <hyperlink ref="A35" r:id="rId34" display="https://www.cian.ru/sale/commercial/334447088/?mlSearchSessionGuid=8000fa91f9cd2d013b654383861ce543"/>
    <hyperlink ref="A36" r:id="rId35" display="https://www.cian.ru/sale/commercial/323204547/?mlSearchSessionGuid=8000fa91f9cd2d013b654383861ce543"/>
    <hyperlink ref="A37" r:id="rId36" display="https://www.cian.ru/sale/commercial/329766767/?mlSearchSessionGuid=8000fa91f9cd2d013b654383861ce543"/>
    <hyperlink ref="A38" r:id="rId37" display="https://www.cian.ru/sale/commercial/333920334/?mlSearchSessionGuid=8000fa91f9cd2d013b654383861ce543"/>
    <hyperlink ref="A39" r:id="rId38" display="https://www.cian.ru/sale/commercial/330209213/?mlSearchSessionGuid=8000fa91f9cd2d013b654383861ce543"/>
    <hyperlink ref="A40" r:id="rId39" display="https://www.cian.ru/sale/commercial/334572433/?mlSearchSessionGuid=8000fa91f9cd2d013b654383861ce543"/>
    <hyperlink ref="A41" r:id="rId40" display="https://www.cian.ru/sale/commercial/306954659/?mlSearchSessionGuid=8000fa91f9cd2d013b654383861ce543"/>
    <hyperlink ref="A42" r:id="rId41" display="https://www.cian.ru/sale/commercial/334610165/?mlSearchSessionGuid=8000fa91f9cd2d013b654383861ce543"/>
    <hyperlink ref="A43" r:id="rId42" display="https://www.cian.ru/sale/commercial/324650646/?mlSearchSessionGuid=8000fa91f9cd2d013b654383861ce543"/>
    <hyperlink ref="A44" r:id="rId43" display="https://www.cian.ru/sale/commercial/323449400/?mlSearchSessionGuid=8000fa91f9cd2d013b654383861ce543"/>
    <hyperlink ref="A45" r:id="rId44" display="https://www.cian.ru/sale/commercial/328840911/?mlSearchSessionGuid=8000fa91f9cd2d013b654383861ce543"/>
    <hyperlink ref="A46" r:id="rId45" display="https://www.cian.ru/sale/commercial/331721983/?mlSearchSessionGuid=8000fa91f9cd2d013b654383861ce543"/>
    <hyperlink ref="A47" r:id="rId46" display="https://www.cian.ru/sale/commercial/329995866/?mlSearchSessionGuid=8000fa91f9cd2d013b654383861ce543"/>
    <hyperlink ref="A48" r:id="rId47" display="https://www.cian.ru/sale/commercial/326659405/?mlSearchSessionGuid=8000fa91f9cd2d013b654383861ce543"/>
    <hyperlink ref="A49" r:id="rId48" display="https://www.cian.ru/sale/commercial/330123001/?mlSearchSessionGuid=8000fa91f9cd2d013b654383861ce543"/>
    <hyperlink ref="A50" r:id="rId49" display="https://www.cian.ru/sale/commercial/331849316/?mlSearchSessionGuid=8000fa91f9cd2d013b654383861ce543"/>
    <hyperlink ref="A51" r:id="rId50" display="https://www.cian.ru/sale/commercial/330736944/?mlSearchSessionGuid=8000fa91f9cd2d013b654383861ce543"/>
    <hyperlink ref="A52" r:id="rId51" display="https://www.cian.ru/sale/commercial/335009028/?mlSearchSessionGuid=8000fa91f9cd2d013b654383861ce543"/>
    <hyperlink ref="A53" r:id="rId52" display="https://www.cian.ru/sale/commercial/334374919/?mlSearchSessionGuid=8000fa91f9cd2d013b654383861ce543"/>
    <hyperlink ref="A54" r:id="rId53" display="https://www.cian.ru/sale/commercial/331721958/?mlSearchSessionGuid=8000fa91f9cd2d013b654383861ce543"/>
    <hyperlink ref="A55" r:id="rId54" display="https://www.cian.ru/sale/commercial/325071029/?mlSearchSessionGuid=8000fa91f9cd2d013b654383861ce543"/>
    <hyperlink ref="A56" r:id="rId55" display="https://www.cian.ru/sale/commercial/332736315/?mlSearchSessionGuid=8000fa91f9cd2d013b654383861ce543"/>
    <hyperlink ref="A57" r:id="rId56" display="https://www.cian.ru/sale/commercial/334209085/?mlSearchSessionGuid=8000fa91f9cd2d013b654383861ce543"/>
    <hyperlink ref="A58" r:id="rId57" display="https://www.cian.ru/sale/commercial/332211105/?mlSearchSessionGuid=8000fa91f9cd2d013b654383861ce543"/>
    <hyperlink ref="A59" r:id="rId58" display="https://www.cian.ru/sale/commercial/333165223/?mlSearchSessionGuid=8000fa91f9cd2d013b654383861ce543"/>
    <hyperlink ref="A60" r:id="rId59" display="https://www.cian.ru/sale/commercial/331192173/?mlSearchSessionGuid=8000fa91f9cd2d013b654383861ce543"/>
    <hyperlink ref="A61" r:id="rId60" display="https://www.cian.ru/sale/commercial/314823488/?mlSearchSessionGuid=8000fa91f9cd2d013b654383861ce543"/>
    <hyperlink ref="A62" r:id="rId61" display="https://www.cian.ru/sale/commercial/333445368/?mlSearchSessionGuid=8000fa91f9cd2d013b654383861ce543"/>
    <hyperlink ref="A63" r:id="rId62" display="https://www.cian.ru/sale/commercial/326323424/?mlSearchSessionGuid=8000fa91f9cd2d013b654383861ce543"/>
    <hyperlink ref="A64" r:id="rId63" display="https://www.cian.ru/sale/commercial/327236819/?mlSearchSessionGuid=8000fa91f9cd2d013b654383861ce543"/>
    <hyperlink ref="A65" r:id="rId64" display="https://www.cian.ru/sale/commercial/323281405/?mlSearchSessionGuid=8000fa91f9cd2d013b654383861ce543"/>
    <hyperlink ref="A66" r:id="rId65" display="https://www.cian.ru/sale/commercial/332862733/?mlSearchSessionGuid=8000fa91f9cd2d013b654383861ce543"/>
    <hyperlink ref="A67" r:id="rId66" display="https://www.cian.ru/sale/commercial/319400512/?mlSearchSessionGuid=8000fa91f9cd2d013b654383861ce543"/>
    <hyperlink ref="A68" r:id="rId67" display="https://www.cian.ru/sale/commercial/334958495/?mlSearchSessionGuid=8000fa91f9cd2d013b654383861ce543"/>
    <hyperlink ref="A69" r:id="rId68" display="https://www.cian.ru/sale/commercial/303671573/?mlSearchSessionGuid=8000fa91f9cd2d013b654383861ce543"/>
    <hyperlink ref="A70" r:id="rId69" display="https://www.cian.ru/sale/commercial/332553598/?mlSearchSessionGuid=8000fa91f9cd2d013b654383861ce543"/>
    <hyperlink ref="A71" r:id="rId70" display="https://www.cian.ru/sale/commercial/334407095/?mlSearchSessionGuid=8000fa91f9cd2d013b654383861ce543"/>
    <hyperlink ref="A72" r:id="rId71" display="https://www.cian.ru/sale/commercial/334235697/?mlSearchSessionGuid=8000fa91f9cd2d013b654383861ce543"/>
    <hyperlink ref="A73" r:id="rId72" display="https://www.cian.ru/sale/commercial/333031833/?mlSearchSessionGuid=8000fa91f9cd2d013b654383861ce543"/>
    <hyperlink ref="A74" r:id="rId73" display="https://www.cian.ru/sale/commercial/332055776/?mlSearchSessionGuid=8000fa91f9cd2d013b654383861ce543"/>
    <hyperlink ref="A75" r:id="rId74" display="https://www.cian.ru/sale/commercial/331881395/?mlSearchSessionGuid=8000fa91f9cd2d013b654383861ce543"/>
    <hyperlink ref="A76" r:id="rId75" display="https://www.cian.ru/sale/commercial/326619828/?mlSearchSessionGuid=8000fa91f9cd2d013b654383861ce543"/>
    <hyperlink ref="A77" r:id="rId76" display="https://www.cian.ru/sale/commercial/317392929/?mlSearchSessionGuid=8000fa91f9cd2d013b654383861ce543"/>
    <hyperlink ref="A78" r:id="rId77" display="https://www.cian.ru/sale/commercial/333604412/?mlSearchSessionGuid=8000fa91f9cd2d013b654383861ce543"/>
    <hyperlink ref="A79" r:id="rId78" display="https://www.cian.ru/sale/commercial/331103352/?mlSearchSessionGuid=8000fa91f9cd2d013b654383861ce543"/>
    <hyperlink ref="A80" r:id="rId79" display="https://www.cian.ru/sale/commercial/331113334/?mlSearchSessionGuid=8000fa91f9cd2d013b654383861ce543"/>
    <hyperlink ref="A81" r:id="rId80" display="https://www.cian.ru/sale/commercial/334238931/?mlSearchSessionGuid=8000fa91f9cd2d013b654383861ce543"/>
    <hyperlink ref="A82" r:id="rId81" display="https://www.cian.ru/sale/commercial/326727810/?mlSearchSessionGuid=8000fa91f9cd2d013b654383861ce543"/>
    <hyperlink ref="A83" r:id="rId82" display="https://www.cian.ru/sale/commercial/333573302/?mlSearchSessionGuid=8000fa91f9cd2d013b654383861ce543"/>
    <hyperlink ref="A84" r:id="rId83" display="https://www.cian.ru/sale/commercial/331113479/?mlSearchSessionGuid=8000fa91f9cd2d013b654383861ce543"/>
    <hyperlink ref="A85" r:id="rId84" display="https://www.cian.ru/sale/commercial/333573304/?mlSearchSessionGuid=8000fa91f9cd2d013b654383861ce543"/>
    <hyperlink ref="A86" r:id="rId85" display="https://www.cian.ru/sale/commercial/334124349/?mlSearchSessionGuid=8000fa91f9cd2d013b654383861ce543"/>
    <hyperlink ref="A87" r:id="rId86" display="https://www.cian.ru/sale/commercial/331681786/?mlSearchSessionGuid=8000fa91f9cd2d013b654383861ce543"/>
    <hyperlink ref="A88" r:id="rId87" display="https://www.cian.ru/sale/commercial/331102745/?mlSearchSessionGuid=8000fa91f9cd2d013b654383861ce543"/>
    <hyperlink ref="A89" r:id="rId88" display="https://www.cian.ru/sale/commercial/326037290/?mlSearchSessionGuid=8000fa91f9cd2d013b654383861ce543"/>
    <hyperlink ref="A90" r:id="rId89" display="https://www.cian.ru/sale/commercial/301009654/?mlSearchSessionGuid=8000fa91f9cd2d013b654383861ce543"/>
    <hyperlink ref="A91" r:id="rId90" display="https://www.cian.ru/sale/commercial/325962115/?mlSearchSessionGuid=8000fa91f9cd2d013b654383861ce543"/>
    <hyperlink ref="A92" r:id="rId91" display="https://www.cian.ru/sale/commercial/334265403/?mlSearchSessionGuid=8000fa91f9cd2d013b654383861ce543"/>
    <hyperlink ref="A93" r:id="rId92" display="https://www.cian.ru/sale/commercial/331626479/?mlSearchSessionGuid=8000fa91f9cd2d013b654383861ce543"/>
    <hyperlink ref="A94" r:id="rId93" display="https://www.cian.ru/sale/commercial/334579933/?mlSearchSessionGuid=8000fa91f9cd2d013b654383861ce543"/>
    <hyperlink ref="A95" r:id="rId94" display="https://www.cian.ru/sale/commercial/334005205/?mlSearchSessionGuid=8000fa91f9cd2d013b654383861ce543"/>
    <hyperlink ref="A96" r:id="rId95" display="https://www.cian.ru/sale/commercial/333185004/?mlSearchSessionGuid=8000fa91f9cd2d013b654383861ce543"/>
    <hyperlink ref="A97" r:id="rId96" display="https://www.cian.ru/sale/commercial/300028159/?mlSearchSessionGuid=8000fa91f9cd2d013b654383861ce543"/>
    <hyperlink ref="A98" r:id="rId97" display="https://www.cian.ru/sale/commercial/237430581/?mlSearchSessionGuid=8000fa91f9cd2d013b654383861ce543"/>
    <hyperlink ref="A99" r:id="rId98" display="https://www.cian.ru/sale/commercial/334887235/?mlSearchSessionGuid=8000fa91f9cd2d013b654383861ce543"/>
    <hyperlink ref="A100" r:id="rId99" display="https://www.cian.ru/sale/commercial/331136573/?mlSearchSessionGuid=8000fa91f9cd2d013b654383861ce543"/>
    <hyperlink ref="A101" r:id="rId100" display="https://www.cian.ru/sale/commercial/331140146/?mlSearchSessionGuid=8000fa91f9cd2d013b654383861ce543"/>
    <hyperlink ref="A102" r:id="rId101" display="https://www.cian.ru/sale/commercial/312296455/?mlSearchSessionGuid=8000fa91f9cd2d013b654383861ce543"/>
    <hyperlink ref="A103" r:id="rId102" display="https://www.cian.ru/sale/commercial/309281470/?mlSearchSessionGuid=8000fa91f9cd2d013b654383861ce543"/>
    <hyperlink ref="A104" r:id="rId103" display="https://www.cian.ru/sale/commercial/309284425/?mlSearchSessionGuid=8000fa91f9cd2d013b654383861ce543"/>
    <hyperlink ref="A105" r:id="rId104" display="https://www.cian.ru/sale/commercial/326421862/?mlSearchSessionGuid=8000fa91f9cd2d013b654383861ce543"/>
    <hyperlink ref="A106" r:id="rId105" display="https://www.cian.ru/sale/commercial/332780974/?mlSearchSessionGuid=8000fa91f9cd2d013b654383861ce543"/>
    <hyperlink ref="A107" r:id="rId106" display="https://www.cian.ru/sale/commercial/331843452/?mlSearchSessionGuid=8000fa91f9cd2d013b654383861ce543"/>
    <hyperlink ref="A108" r:id="rId107" display="https://www.cian.ru/sale/commercial/334974301/?mlSearchSessionGuid=8000fa91f9cd2d013b654383861ce543"/>
    <hyperlink ref="A109" r:id="rId108" display="https://www.cian.ru/sale/commercial/333155855/?mlSearchSessionGuid=8000fa91f9cd2d013b654383861ce543"/>
    <hyperlink ref="A110" r:id="rId109" display="https://www.cian.ru/sale/commercial/334273931/?mlSearchSessionGuid=8000fa91f9cd2d013b654383861ce543"/>
    <hyperlink ref="A111" r:id="rId110" display="https://www.cian.ru/sale/commercial/333237788/?mlSearchSessionGuid=8000fa91f9cd2d013b654383861ce543"/>
    <hyperlink ref="A112" r:id="rId111" display="https://www.cian.ru/sale/commercial/329876776/?mlSearchSessionGuid=8000fa91f9cd2d013b654383861ce543"/>
    <hyperlink ref="A113" r:id="rId112" display="https://www.cian.ru/sale/commercial/331415622/?mlSearchSessionGuid=8000fa91f9cd2d013b654383861ce543"/>
    <hyperlink ref="A114" r:id="rId113" display="https://www.cian.ru/sale/commercial/320234118/?mlSearchSessionGuid=8000fa91f9cd2d013b654383861ce543"/>
    <hyperlink ref="A115" r:id="rId114" display="https://www.cian.ru/sale/commercial/333678819/?mlSearchSessionGuid=8000fa91f9cd2d013b654383861ce543"/>
    <hyperlink ref="A116" r:id="rId115" display="https://www.cian.ru/sale/commercial/315624126/?mlSearchSessionGuid=8000fa91f9cd2d013b654383861ce543"/>
    <hyperlink ref="A117" r:id="rId116" display="https://www.cian.ru/sale/commercial/334003930/?mlSearchSessionGuid=8000fa91f9cd2d013b654383861ce543"/>
    <hyperlink ref="A118" r:id="rId117" display="https://www.cian.ru/sale/commercial/325072268/?mlSearchSessionGuid=8000fa91f9cd2d013b654383861ce543"/>
    <hyperlink ref="A119" r:id="rId118" display="https://www.cian.ru/sale/commercial/329172942/?mlSearchSessionGuid=8000fa91f9cd2d013b654383861ce54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8"/>
    <col collapsed="false" customWidth="true" hidden="false" outlineLevel="0" max="4" min="4" style="0" width="8"/>
    <col collapsed="false" customWidth="true" hidden="false" outlineLevel="0" max="5" min="5" style="0" width="9"/>
    <col collapsed="false" customWidth="true" hidden="false" outlineLevel="0" max="6" min="6" style="0" width="12"/>
    <col collapsed="false" customWidth="true" hidden="false" outlineLevel="0" max="8" min="7" style="0" width="10"/>
  </cols>
  <sheetData>
    <row r="1" customFormat="false" ht="39.75" hidden="false" customHeight="true" outlineLevel="0" collapsed="false">
      <c r="A1" s="14" t="s">
        <v>46</v>
      </c>
      <c r="B1" s="14" t="s">
        <v>671</v>
      </c>
      <c r="C1" s="14" t="s">
        <v>47</v>
      </c>
      <c r="D1" s="14" t="s">
        <v>49</v>
      </c>
      <c r="E1" s="14" t="s">
        <v>52</v>
      </c>
      <c r="F1" s="14" t="s">
        <v>672</v>
      </c>
      <c r="G1" s="14" t="s">
        <v>673</v>
      </c>
      <c r="H1" s="14" t="s">
        <v>55</v>
      </c>
    </row>
    <row r="2" customFormat="false" ht="15" hidden="false" customHeight="false" outlineLevel="0" collapsed="false">
      <c r="A2" s="15" t="n">
        <v>334381087</v>
      </c>
      <c r="B2" s="16" t="s">
        <v>674</v>
      </c>
      <c r="C2" s="16" t="s">
        <v>675</v>
      </c>
      <c r="D2" s="16" t="n">
        <v>0.19</v>
      </c>
      <c r="E2" s="16" t="n">
        <v>100</v>
      </c>
      <c r="F2" s="16" t="n">
        <v>290000</v>
      </c>
      <c r="G2" s="16" t="n">
        <v>2900</v>
      </c>
      <c r="H2" s="16" t="s">
        <v>68</v>
      </c>
    </row>
    <row r="3" customFormat="false" ht="15" hidden="false" customHeight="false" outlineLevel="0" collapsed="false">
      <c r="A3" s="15" t="n">
        <v>334666474</v>
      </c>
      <c r="B3" s="16" t="s">
        <v>676</v>
      </c>
      <c r="C3" s="16" t="s">
        <v>677</v>
      </c>
      <c r="D3" s="16" t="n">
        <v>0.29</v>
      </c>
      <c r="E3" s="16" t="n">
        <v>150</v>
      </c>
      <c r="F3" s="16" t="n">
        <v>315000</v>
      </c>
      <c r="G3" s="16" t="n">
        <v>2100</v>
      </c>
      <c r="H3" s="16" t="s">
        <v>63</v>
      </c>
    </row>
    <row r="4" customFormat="false" ht="22.35" hidden="false" customHeight="false" outlineLevel="0" collapsed="false">
      <c r="A4" s="15" t="n">
        <v>332875555</v>
      </c>
      <c r="B4" s="16" t="s">
        <v>678</v>
      </c>
      <c r="C4" s="16" t="s">
        <v>679</v>
      </c>
      <c r="D4" s="16" t="n">
        <v>0.3</v>
      </c>
      <c r="E4" s="16" t="n">
        <v>539</v>
      </c>
      <c r="F4" s="16" t="n">
        <v>628833</v>
      </c>
      <c r="G4" s="16" t="n">
        <v>1167</v>
      </c>
      <c r="H4" s="16" t="s">
        <v>63</v>
      </c>
    </row>
    <row r="5" customFormat="false" ht="15" hidden="false" customHeight="false" outlineLevel="0" collapsed="false">
      <c r="A5" s="15" t="n">
        <v>315760473</v>
      </c>
      <c r="B5" s="16" t="s">
        <v>680</v>
      </c>
      <c r="C5" s="16" t="s">
        <v>681</v>
      </c>
      <c r="D5" s="16" t="n">
        <v>0.31</v>
      </c>
      <c r="E5" s="16" t="n">
        <v>125.9</v>
      </c>
      <c r="F5" s="16" t="n">
        <v>188850</v>
      </c>
      <c r="G5" s="16" t="n">
        <v>1500</v>
      </c>
      <c r="H5" s="16" t="s">
        <v>63</v>
      </c>
    </row>
    <row r="6" customFormat="false" ht="15" hidden="false" customHeight="false" outlineLevel="0" collapsed="false">
      <c r="A6" s="15" t="n">
        <v>334681917</v>
      </c>
      <c r="B6" s="16" t="s">
        <v>682</v>
      </c>
      <c r="C6" s="16" t="s">
        <v>683</v>
      </c>
      <c r="D6" s="16" t="n">
        <v>0.43</v>
      </c>
      <c r="E6" s="16" t="n">
        <v>380</v>
      </c>
      <c r="F6" s="16" t="n">
        <v>320000</v>
      </c>
      <c r="G6" s="16" t="n">
        <v>842</v>
      </c>
      <c r="H6" s="16" t="s">
        <v>68</v>
      </c>
    </row>
    <row r="7" customFormat="false" ht="15" hidden="false" customHeight="false" outlineLevel="0" collapsed="false">
      <c r="A7" s="15" t="n">
        <v>332696489</v>
      </c>
      <c r="B7" s="16" t="s">
        <v>674</v>
      </c>
      <c r="C7" s="16" t="s">
        <v>683</v>
      </c>
      <c r="D7" s="16" t="n">
        <v>0.43</v>
      </c>
      <c r="E7" s="16" t="n">
        <v>212.7</v>
      </c>
      <c r="F7" s="16" t="n">
        <v>800000</v>
      </c>
      <c r="G7" s="16" t="n">
        <v>3761</v>
      </c>
      <c r="H7" s="16" t="s">
        <v>68</v>
      </c>
    </row>
    <row r="8" customFormat="false" ht="22.35" hidden="false" customHeight="false" outlineLevel="0" collapsed="false">
      <c r="A8" s="15" t="n">
        <v>332174347</v>
      </c>
      <c r="B8" s="16" t="s">
        <v>678</v>
      </c>
      <c r="C8" s="16" t="s">
        <v>683</v>
      </c>
      <c r="D8" s="16" t="n">
        <v>0.43</v>
      </c>
      <c r="E8" s="16" t="n">
        <v>100</v>
      </c>
      <c r="F8" s="16" t="n">
        <v>400000</v>
      </c>
      <c r="G8" s="16" t="n">
        <v>4000</v>
      </c>
      <c r="H8" s="16" t="s">
        <v>63</v>
      </c>
    </row>
    <row r="9" customFormat="false" ht="22.35" hidden="false" customHeight="false" outlineLevel="0" collapsed="false">
      <c r="A9" s="15" t="n">
        <v>334860498</v>
      </c>
      <c r="B9" s="16" t="s">
        <v>678</v>
      </c>
      <c r="C9" s="16" t="s">
        <v>684</v>
      </c>
      <c r="D9" s="16" t="n">
        <v>0.5</v>
      </c>
      <c r="E9" s="16" t="n">
        <v>155</v>
      </c>
      <c r="F9" s="16" t="n">
        <v>600000</v>
      </c>
      <c r="G9" s="16" t="n">
        <v>3871</v>
      </c>
      <c r="H9" s="16" t="s">
        <v>68</v>
      </c>
    </row>
    <row r="10" customFormat="false" ht="22.35" hidden="false" customHeight="false" outlineLevel="0" collapsed="false">
      <c r="A10" s="15" t="n">
        <v>322478899</v>
      </c>
      <c r="B10" s="16" t="s">
        <v>678</v>
      </c>
      <c r="C10" s="16" t="s">
        <v>108</v>
      </c>
      <c r="D10" s="16" t="n">
        <v>0.6</v>
      </c>
      <c r="E10" s="16" t="n">
        <v>3127</v>
      </c>
      <c r="F10" s="16" t="n">
        <v>2490900</v>
      </c>
      <c r="G10" s="16" t="n">
        <v>797</v>
      </c>
      <c r="H10" s="16" t="s">
        <v>63</v>
      </c>
    </row>
    <row r="11" customFormat="false" ht="22.35" hidden="false" customHeight="false" outlineLevel="0" collapsed="false">
      <c r="A11" s="15" t="n">
        <v>332531890</v>
      </c>
      <c r="B11" s="16" t="s">
        <v>678</v>
      </c>
      <c r="C11" s="16" t="s">
        <v>685</v>
      </c>
      <c r="D11" s="16" t="n">
        <v>0.63</v>
      </c>
      <c r="E11" s="16" t="n">
        <v>130</v>
      </c>
      <c r="F11" s="16" t="n">
        <v>250000</v>
      </c>
      <c r="G11" s="16" t="n">
        <v>1923</v>
      </c>
      <c r="H11" s="16" t="s">
        <v>68</v>
      </c>
    </row>
    <row r="12" customFormat="false" ht="22.35" hidden="false" customHeight="false" outlineLevel="0" collapsed="false">
      <c r="A12" s="15" t="n">
        <v>334893655</v>
      </c>
      <c r="B12" s="16" t="s">
        <v>678</v>
      </c>
      <c r="C12" s="16" t="s">
        <v>686</v>
      </c>
      <c r="D12" s="16" t="n">
        <v>0.71</v>
      </c>
      <c r="E12" s="16" t="n">
        <v>150.8</v>
      </c>
      <c r="F12" s="16" t="n">
        <v>820000</v>
      </c>
      <c r="G12" s="16" t="n">
        <v>5438</v>
      </c>
      <c r="H12" s="16" t="s">
        <v>63</v>
      </c>
    </row>
    <row r="13" customFormat="false" ht="22.35" hidden="false" customHeight="false" outlineLevel="0" collapsed="false">
      <c r="A13" s="15" t="n">
        <v>334866869</v>
      </c>
      <c r="B13" s="16" t="s">
        <v>678</v>
      </c>
      <c r="C13" s="16" t="s">
        <v>61</v>
      </c>
      <c r="D13" s="16" t="n">
        <v>0.74</v>
      </c>
      <c r="E13" s="16" t="n">
        <v>103.6</v>
      </c>
      <c r="F13" s="16" t="n">
        <v>169058</v>
      </c>
      <c r="G13" s="16" t="n">
        <v>1632</v>
      </c>
      <c r="H13" s="16" t="s">
        <v>63</v>
      </c>
    </row>
    <row r="14" customFormat="false" ht="22.35" hidden="false" customHeight="false" outlineLevel="0" collapsed="false">
      <c r="A14" s="15" t="n">
        <v>334866889</v>
      </c>
      <c r="B14" s="16" t="s">
        <v>678</v>
      </c>
      <c r="C14" s="16" t="s">
        <v>61</v>
      </c>
      <c r="D14" s="16" t="n">
        <v>0.74</v>
      </c>
      <c r="E14" s="16" t="n">
        <v>116.6</v>
      </c>
      <c r="F14" s="16" t="n">
        <v>190272</v>
      </c>
      <c r="G14" s="16" t="n">
        <v>1632</v>
      </c>
      <c r="H14" s="16" t="s">
        <v>63</v>
      </c>
    </row>
    <row r="15" customFormat="false" ht="22.35" hidden="false" customHeight="false" outlineLevel="0" collapsed="false">
      <c r="A15" s="15" t="n">
        <v>316132721</v>
      </c>
      <c r="B15" s="16" t="s">
        <v>678</v>
      </c>
      <c r="C15" s="16" t="s">
        <v>61</v>
      </c>
      <c r="D15" s="16" t="n">
        <v>0.74</v>
      </c>
      <c r="E15" s="16" t="n">
        <v>1084.4</v>
      </c>
      <c r="F15" s="16" t="n">
        <v>2700000</v>
      </c>
      <c r="G15" s="16" t="n">
        <v>2490</v>
      </c>
      <c r="H15" s="16" t="s">
        <v>63</v>
      </c>
    </row>
    <row r="16" customFormat="false" ht="15" hidden="false" customHeight="false" outlineLevel="0" collapsed="false">
      <c r="A16" s="15" t="n">
        <v>334711814</v>
      </c>
      <c r="B16" s="16" t="s">
        <v>676</v>
      </c>
      <c r="C16" s="16" t="s">
        <v>687</v>
      </c>
      <c r="D16" s="16" t="n">
        <v>0.76</v>
      </c>
      <c r="E16" s="16" t="n">
        <v>335</v>
      </c>
      <c r="F16" s="16" t="n">
        <v>770000</v>
      </c>
      <c r="G16" s="16" t="n">
        <v>2299</v>
      </c>
      <c r="H16" s="16" t="s">
        <v>68</v>
      </c>
    </row>
    <row r="17" customFormat="false" ht="15" hidden="false" customHeight="false" outlineLevel="0" collapsed="false">
      <c r="A17" s="15" t="n">
        <v>334711807</v>
      </c>
      <c r="B17" s="16" t="s">
        <v>676</v>
      </c>
      <c r="C17" s="16" t="s">
        <v>687</v>
      </c>
      <c r="D17" s="16" t="n">
        <v>0.76</v>
      </c>
      <c r="E17" s="16" t="n">
        <v>656</v>
      </c>
      <c r="F17" s="16" t="n">
        <v>1500000</v>
      </c>
      <c r="G17" s="16" t="n">
        <v>2287</v>
      </c>
      <c r="H17" s="16" t="s">
        <v>68</v>
      </c>
    </row>
    <row r="18" customFormat="false" ht="22.35" hidden="false" customHeight="false" outlineLevel="0" collapsed="false">
      <c r="A18" s="15" t="n">
        <v>334450999</v>
      </c>
      <c r="B18" s="16" t="s">
        <v>678</v>
      </c>
      <c r="C18" s="16" t="s">
        <v>688</v>
      </c>
      <c r="D18" s="16" t="n">
        <v>0.77</v>
      </c>
      <c r="E18" s="16" t="n">
        <v>472</v>
      </c>
      <c r="F18" s="16" t="n">
        <v>1250000</v>
      </c>
      <c r="G18" s="16" t="n">
        <v>2648</v>
      </c>
      <c r="H18" s="16" t="s">
        <v>68</v>
      </c>
    </row>
    <row r="19" customFormat="false" ht="15" hidden="false" customHeight="false" outlineLevel="0" collapsed="false">
      <c r="A19" s="15" t="n">
        <v>331163996</v>
      </c>
      <c r="B19" s="16" t="s">
        <v>676</v>
      </c>
      <c r="C19" s="16" t="s">
        <v>689</v>
      </c>
      <c r="D19" s="16" t="n">
        <v>0.84</v>
      </c>
      <c r="E19" s="16" t="n">
        <v>226.6</v>
      </c>
      <c r="F19" s="16" t="n">
        <v>508772</v>
      </c>
      <c r="G19" s="16" t="n">
        <v>2245</v>
      </c>
      <c r="H19" s="16" t="s">
        <v>68</v>
      </c>
    </row>
    <row r="20" customFormat="false" ht="15" hidden="false" customHeight="false" outlineLevel="0" collapsed="false">
      <c r="A20" s="15" t="n">
        <v>333224839</v>
      </c>
      <c r="B20" s="16" t="s">
        <v>676</v>
      </c>
      <c r="C20" s="16" t="s">
        <v>689</v>
      </c>
      <c r="D20" s="16" t="n">
        <v>0.84</v>
      </c>
      <c r="E20" s="16" t="n">
        <v>135</v>
      </c>
      <c r="F20" s="16" t="n">
        <v>273150</v>
      </c>
      <c r="G20" s="16" t="n">
        <v>2023</v>
      </c>
      <c r="H20" s="16" t="s">
        <v>63</v>
      </c>
    </row>
    <row r="21" customFormat="false" ht="15" hidden="false" customHeight="false" outlineLevel="0" collapsed="false">
      <c r="A21" s="15" t="n">
        <v>332445844</v>
      </c>
      <c r="B21" s="16" t="s">
        <v>690</v>
      </c>
      <c r="C21" s="16" t="s">
        <v>691</v>
      </c>
      <c r="D21" s="16" t="n">
        <v>0.85</v>
      </c>
      <c r="E21" s="16" t="n">
        <v>574</v>
      </c>
      <c r="F21" s="16" t="n">
        <v>1148000</v>
      </c>
      <c r="G21" s="16" t="n">
        <v>2000</v>
      </c>
      <c r="H21" s="16" t="s">
        <v>68</v>
      </c>
    </row>
    <row r="22" customFormat="false" ht="15" hidden="false" customHeight="false" outlineLevel="0" collapsed="false">
      <c r="A22" s="15" t="n">
        <v>333876605</v>
      </c>
      <c r="B22" s="16" t="s">
        <v>690</v>
      </c>
      <c r="C22" s="16" t="s">
        <v>692</v>
      </c>
      <c r="D22" s="16" t="n">
        <v>0.89</v>
      </c>
      <c r="E22" s="16" t="n">
        <v>178</v>
      </c>
      <c r="F22" s="16" t="n">
        <v>375000</v>
      </c>
      <c r="G22" s="16" t="n">
        <v>2107</v>
      </c>
      <c r="H22" s="16" t="s">
        <v>68</v>
      </c>
    </row>
    <row r="23" customFormat="false" ht="15" hidden="false" customHeight="false" outlineLevel="0" collapsed="false">
      <c r="A23" s="15" t="n">
        <v>334210610</v>
      </c>
      <c r="B23" s="16" t="s">
        <v>690</v>
      </c>
      <c r="C23" s="16" t="s">
        <v>693</v>
      </c>
      <c r="D23" s="16" t="n">
        <v>0.96</v>
      </c>
      <c r="E23" s="16" t="n">
        <v>136.9</v>
      </c>
      <c r="F23" s="16" t="n">
        <v>2757304</v>
      </c>
      <c r="G23" s="16" t="n">
        <v>20141</v>
      </c>
      <c r="H23" s="16" t="s">
        <v>63</v>
      </c>
    </row>
    <row r="24" customFormat="false" ht="15" hidden="false" customHeight="false" outlineLevel="0" collapsed="false">
      <c r="A24" s="15" t="n">
        <v>331743890</v>
      </c>
      <c r="B24" s="16" t="s">
        <v>676</v>
      </c>
      <c r="C24" s="16" t="s">
        <v>694</v>
      </c>
      <c r="D24" s="16" t="n">
        <v>0.98</v>
      </c>
      <c r="E24" s="16" t="n">
        <v>1261.2</v>
      </c>
      <c r="F24" s="16" t="n">
        <v>4204000</v>
      </c>
      <c r="G24" s="16" t="n">
        <v>3333</v>
      </c>
      <c r="H24" s="16" t="s">
        <v>63</v>
      </c>
    </row>
    <row r="25" customFormat="false" ht="15" hidden="false" customHeight="false" outlineLevel="0" collapsed="false">
      <c r="A25" s="15" t="n">
        <v>334603836</v>
      </c>
      <c r="B25" s="16" t="s">
        <v>676</v>
      </c>
      <c r="C25" s="16" t="s">
        <v>694</v>
      </c>
      <c r="D25" s="16" t="n">
        <v>0.98</v>
      </c>
      <c r="E25" s="16" t="n">
        <v>1261</v>
      </c>
      <c r="F25" s="16" t="n">
        <v>4418760</v>
      </c>
      <c r="G25" s="16" t="n">
        <v>3504</v>
      </c>
      <c r="H25" s="16" t="s">
        <v>63</v>
      </c>
    </row>
    <row r="26" customFormat="false" ht="15" hidden="false" customHeight="false" outlineLevel="0" collapsed="false">
      <c r="A26" s="15" t="n">
        <v>331498697</v>
      </c>
      <c r="B26" s="16" t="s">
        <v>676</v>
      </c>
      <c r="C26" s="16" t="s">
        <v>694</v>
      </c>
      <c r="D26" s="16" t="n">
        <v>0.98</v>
      </c>
      <c r="E26" s="16" t="n">
        <v>1260</v>
      </c>
      <c r="F26" s="16" t="n">
        <v>4200000</v>
      </c>
      <c r="G26" s="16" t="n">
        <v>3333</v>
      </c>
      <c r="H26" s="16" t="s">
        <v>63</v>
      </c>
    </row>
    <row r="27" customFormat="false" ht="15" hidden="false" customHeight="false" outlineLevel="0" collapsed="false">
      <c r="A27" s="15" t="n">
        <v>331101443</v>
      </c>
      <c r="B27" s="16" t="s">
        <v>676</v>
      </c>
      <c r="C27" s="16" t="s">
        <v>694</v>
      </c>
      <c r="D27" s="16" t="n">
        <v>0.98</v>
      </c>
      <c r="E27" s="16" t="n">
        <v>1261.2</v>
      </c>
      <c r="F27" s="16" t="n">
        <v>4204000</v>
      </c>
      <c r="G27" s="16" t="n">
        <v>3333</v>
      </c>
      <c r="H27" s="16" t="s">
        <v>63</v>
      </c>
    </row>
    <row r="28" customFormat="false" ht="15" hidden="false" customHeight="false" outlineLevel="0" collapsed="false">
      <c r="A28" s="15" t="n">
        <v>334603952</v>
      </c>
      <c r="B28" s="16" t="s">
        <v>676</v>
      </c>
      <c r="C28" s="16" t="s">
        <v>694</v>
      </c>
      <c r="D28" s="16" t="n">
        <v>0.98</v>
      </c>
      <c r="E28" s="16" t="n">
        <v>1261</v>
      </c>
      <c r="F28" s="16" t="n">
        <v>4418800</v>
      </c>
      <c r="G28" s="16" t="n">
        <v>3504</v>
      </c>
      <c r="H28" s="16" t="s">
        <v>63</v>
      </c>
    </row>
    <row r="29" customFormat="false" ht="15" hidden="false" customHeight="false" outlineLevel="0" collapsed="false">
      <c r="A29" s="15" t="n">
        <v>331134291</v>
      </c>
      <c r="B29" s="16" t="s">
        <v>676</v>
      </c>
      <c r="C29" s="16" t="s">
        <v>694</v>
      </c>
      <c r="D29" s="16" t="n">
        <v>0.98</v>
      </c>
      <c r="E29" s="16" t="n">
        <v>673</v>
      </c>
      <c r="F29" s="16" t="n">
        <v>2243333</v>
      </c>
      <c r="G29" s="16" t="n">
        <v>3333</v>
      </c>
      <c r="H29" s="16" t="s">
        <v>63</v>
      </c>
    </row>
    <row r="30" customFormat="false" ht="15" hidden="false" customHeight="false" outlineLevel="0" collapsed="false">
      <c r="A30" s="15" t="n">
        <v>331134292</v>
      </c>
      <c r="B30" s="16" t="s">
        <v>676</v>
      </c>
      <c r="C30" s="16" t="s">
        <v>694</v>
      </c>
      <c r="D30" s="16" t="n">
        <v>0.98</v>
      </c>
      <c r="E30" s="16" t="n">
        <v>588</v>
      </c>
      <c r="F30" s="16" t="n">
        <v>2058000</v>
      </c>
      <c r="G30" s="16" t="n">
        <v>3500</v>
      </c>
      <c r="H30" s="16" t="s">
        <v>63</v>
      </c>
    </row>
    <row r="31" customFormat="false" ht="15" hidden="false" customHeight="false" outlineLevel="0" collapsed="false">
      <c r="A31" s="15" t="n">
        <v>330993169</v>
      </c>
      <c r="B31" s="16" t="s">
        <v>676</v>
      </c>
      <c r="C31" s="16" t="s">
        <v>694</v>
      </c>
      <c r="D31" s="16" t="n">
        <v>0.98</v>
      </c>
      <c r="E31" s="16" t="n">
        <v>1261</v>
      </c>
      <c r="F31" s="16" t="n">
        <v>4203333</v>
      </c>
      <c r="G31" s="16" t="n">
        <v>3333</v>
      </c>
      <c r="H31" s="16" t="s">
        <v>63</v>
      </c>
    </row>
    <row r="32" customFormat="false" ht="15" hidden="false" customHeight="false" outlineLevel="0" collapsed="false">
      <c r="A32" s="15" t="n">
        <v>306466499</v>
      </c>
      <c r="B32" s="16" t="s">
        <v>676</v>
      </c>
      <c r="C32" s="16" t="s">
        <v>695</v>
      </c>
      <c r="D32" s="16" t="n">
        <v>1.04</v>
      </c>
      <c r="E32" s="16" t="n">
        <v>23700</v>
      </c>
      <c r="F32" s="16" t="n">
        <v>50362500</v>
      </c>
      <c r="G32" s="16" t="n">
        <v>2125</v>
      </c>
      <c r="H32" s="16" t="s">
        <v>63</v>
      </c>
    </row>
    <row r="33" customFormat="false" ht="22.35" hidden="false" customHeight="false" outlineLevel="0" collapsed="false">
      <c r="A33" s="15" t="n">
        <v>334429027</v>
      </c>
      <c r="B33" s="16" t="s">
        <v>678</v>
      </c>
      <c r="C33" s="16" t="s">
        <v>696</v>
      </c>
      <c r="D33" s="16" t="n">
        <v>1.04</v>
      </c>
      <c r="E33" s="16" t="n">
        <v>358</v>
      </c>
      <c r="F33" s="16" t="n">
        <v>1074000</v>
      </c>
      <c r="G33" s="16" t="n">
        <v>3000</v>
      </c>
      <c r="H33" s="16" t="s">
        <v>68</v>
      </c>
    </row>
    <row r="34" customFormat="false" ht="22.35" hidden="false" customHeight="false" outlineLevel="0" collapsed="false">
      <c r="A34" s="15" t="n">
        <v>330996461</v>
      </c>
      <c r="B34" s="16" t="s">
        <v>678</v>
      </c>
      <c r="C34" s="16" t="s">
        <v>697</v>
      </c>
      <c r="D34" s="16" t="n">
        <v>1.09</v>
      </c>
      <c r="E34" s="16" t="n">
        <v>127</v>
      </c>
      <c r="F34" s="16" t="n">
        <v>300000</v>
      </c>
      <c r="G34" s="16" t="n">
        <v>2362</v>
      </c>
      <c r="H34" s="16" t="s">
        <v>68</v>
      </c>
    </row>
    <row r="35" customFormat="false" ht="22.35" hidden="false" customHeight="false" outlineLevel="0" collapsed="false">
      <c r="A35" s="15" t="n">
        <v>302553781</v>
      </c>
      <c r="B35" s="16" t="s">
        <v>678</v>
      </c>
      <c r="C35" s="16" t="s">
        <v>697</v>
      </c>
      <c r="D35" s="16" t="n">
        <v>1.09</v>
      </c>
      <c r="E35" s="16" t="n">
        <v>128</v>
      </c>
      <c r="F35" s="16" t="n">
        <v>290000</v>
      </c>
      <c r="G35" s="16" t="n">
        <v>2266</v>
      </c>
      <c r="H35" s="16" t="s">
        <v>68</v>
      </c>
    </row>
    <row r="36" customFormat="false" ht="15" hidden="false" customHeight="false" outlineLevel="0" collapsed="false">
      <c r="A36" s="15" t="n">
        <v>334671646</v>
      </c>
      <c r="B36" s="16" t="s">
        <v>676</v>
      </c>
      <c r="C36" s="16" t="s">
        <v>697</v>
      </c>
      <c r="D36" s="16" t="n">
        <v>1.09</v>
      </c>
      <c r="E36" s="16" t="n">
        <v>127</v>
      </c>
      <c r="F36" s="16" t="n">
        <v>300000</v>
      </c>
      <c r="G36" s="16" t="n">
        <v>2362</v>
      </c>
      <c r="H36" s="16" t="s">
        <v>68</v>
      </c>
    </row>
    <row r="37" customFormat="false" ht="15" hidden="false" customHeight="false" outlineLevel="0" collapsed="false">
      <c r="A37" s="15" t="n">
        <v>334603859</v>
      </c>
      <c r="B37" s="16" t="s">
        <v>676</v>
      </c>
      <c r="C37" s="16" t="s">
        <v>698</v>
      </c>
      <c r="D37" s="16" t="n">
        <v>1.2</v>
      </c>
      <c r="E37" s="16" t="n">
        <v>5108</v>
      </c>
      <c r="F37" s="16" t="n">
        <v>14813200</v>
      </c>
      <c r="G37" s="16" t="n">
        <v>2900</v>
      </c>
      <c r="H37" s="16" t="s">
        <v>63</v>
      </c>
    </row>
    <row r="38" customFormat="false" ht="15" hidden="false" customHeight="false" outlineLevel="0" collapsed="false">
      <c r="A38" s="15" t="n">
        <v>334667852</v>
      </c>
      <c r="B38" s="16" t="s">
        <v>676</v>
      </c>
      <c r="C38" s="16" t="s">
        <v>698</v>
      </c>
      <c r="D38" s="16" t="n">
        <v>1.2</v>
      </c>
      <c r="E38" s="16" t="n">
        <v>569</v>
      </c>
      <c r="F38" s="16" t="n">
        <v>1650100</v>
      </c>
      <c r="G38" s="16" t="n">
        <v>2900</v>
      </c>
      <c r="H38" s="16" t="s">
        <v>63</v>
      </c>
    </row>
    <row r="39" customFormat="false" ht="15" hidden="false" customHeight="false" outlineLevel="0" collapsed="false">
      <c r="A39" s="15" t="n">
        <v>328572907</v>
      </c>
      <c r="B39" s="16" t="s">
        <v>676</v>
      </c>
      <c r="C39" s="16" t="s">
        <v>698</v>
      </c>
      <c r="D39" s="16" t="n">
        <v>1.2</v>
      </c>
      <c r="E39" s="16" t="n">
        <v>2556.9</v>
      </c>
      <c r="F39" s="16" t="n">
        <v>4858110</v>
      </c>
      <c r="G39" s="16" t="n">
        <v>1900</v>
      </c>
      <c r="H39" s="16" t="s">
        <v>63</v>
      </c>
    </row>
    <row r="40" customFormat="false" ht="15" hidden="false" customHeight="false" outlineLevel="0" collapsed="false">
      <c r="A40" s="15" t="n">
        <v>334603980</v>
      </c>
      <c r="B40" s="16" t="s">
        <v>676</v>
      </c>
      <c r="C40" s="16" t="s">
        <v>698</v>
      </c>
      <c r="D40" s="16" t="n">
        <v>1.2</v>
      </c>
      <c r="E40" s="16" t="n">
        <v>1173</v>
      </c>
      <c r="F40" s="16" t="n">
        <v>3401700</v>
      </c>
      <c r="G40" s="16" t="n">
        <v>2900</v>
      </c>
      <c r="H40" s="16" t="s">
        <v>63</v>
      </c>
    </row>
    <row r="41" customFormat="false" ht="15" hidden="false" customHeight="false" outlineLevel="0" collapsed="false">
      <c r="A41" s="15" t="n">
        <v>332893708</v>
      </c>
      <c r="B41" s="16" t="s">
        <v>676</v>
      </c>
      <c r="C41" s="16" t="s">
        <v>699</v>
      </c>
      <c r="D41" s="16" t="n">
        <v>1.25</v>
      </c>
      <c r="E41" s="16" t="n">
        <v>2100</v>
      </c>
      <c r="F41" s="16" t="n">
        <v>6125000</v>
      </c>
      <c r="G41" s="16" t="n">
        <v>2917</v>
      </c>
      <c r="H41" s="16" t="s">
        <v>63</v>
      </c>
    </row>
    <row r="42" customFormat="false" ht="15" hidden="false" customHeight="false" outlineLevel="0" collapsed="false">
      <c r="A42" s="15" t="n">
        <v>334318161</v>
      </c>
      <c r="B42" s="16" t="s">
        <v>676</v>
      </c>
      <c r="C42" s="16" t="s">
        <v>699</v>
      </c>
      <c r="D42" s="16" t="n">
        <v>1.25</v>
      </c>
      <c r="E42" s="16" t="n">
        <v>2100</v>
      </c>
      <c r="F42" s="16" t="n">
        <v>6125000</v>
      </c>
      <c r="G42" s="16" t="n">
        <v>2917</v>
      </c>
      <c r="H42" s="16" t="s">
        <v>63</v>
      </c>
    </row>
    <row r="43" customFormat="false" ht="15" hidden="false" customHeight="false" outlineLevel="0" collapsed="false">
      <c r="A43" s="15" t="n">
        <v>332836089</v>
      </c>
      <c r="B43" s="16" t="s">
        <v>690</v>
      </c>
      <c r="C43" s="16" t="s">
        <v>699</v>
      </c>
      <c r="D43" s="16" t="n">
        <v>1.25</v>
      </c>
      <c r="E43" s="16" t="n">
        <v>2100</v>
      </c>
      <c r="F43" s="16" t="n">
        <v>6125000</v>
      </c>
      <c r="G43" s="16" t="n">
        <v>2917</v>
      </c>
      <c r="H43" s="16" t="s">
        <v>63</v>
      </c>
    </row>
    <row r="44" customFormat="false" ht="15" hidden="false" customHeight="false" outlineLevel="0" collapsed="false">
      <c r="A44" s="15" t="n">
        <v>330435685</v>
      </c>
      <c r="B44" s="16" t="s">
        <v>690</v>
      </c>
      <c r="C44" s="16" t="s">
        <v>699</v>
      </c>
      <c r="D44" s="16" t="n">
        <v>1.25</v>
      </c>
      <c r="E44" s="16" t="n">
        <v>2105</v>
      </c>
      <c r="F44" s="16" t="n">
        <v>6139583</v>
      </c>
      <c r="G44" s="16" t="n">
        <v>2917</v>
      </c>
      <c r="H44" s="16" t="s">
        <v>63</v>
      </c>
    </row>
    <row r="45" customFormat="false" ht="15" hidden="false" customHeight="false" outlineLevel="0" collapsed="false">
      <c r="A45" s="15" t="n">
        <v>323663061</v>
      </c>
      <c r="B45" s="16" t="s">
        <v>674</v>
      </c>
      <c r="C45" s="16" t="s">
        <v>700</v>
      </c>
      <c r="D45" s="16" t="n">
        <v>1.27</v>
      </c>
      <c r="E45" s="16" t="n">
        <v>108</v>
      </c>
      <c r="F45" s="16" t="n">
        <v>250000</v>
      </c>
      <c r="G45" s="16" t="n">
        <v>2315</v>
      </c>
      <c r="H45" s="16" t="s">
        <v>68</v>
      </c>
    </row>
    <row r="46" customFormat="false" ht="22.35" hidden="false" customHeight="false" outlineLevel="0" collapsed="false">
      <c r="A46" s="15" t="n">
        <v>330847774</v>
      </c>
      <c r="B46" s="16" t="s">
        <v>678</v>
      </c>
      <c r="C46" s="16" t="s">
        <v>701</v>
      </c>
      <c r="D46" s="16" t="n">
        <v>1.29</v>
      </c>
      <c r="E46" s="16" t="n">
        <v>520</v>
      </c>
      <c r="F46" s="16" t="n">
        <v>1404000</v>
      </c>
      <c r="G46" s="16" t="n">
        <v>2700</v>
      </c>
      <c r="H46" s="16" t="s">
        <v>63</v>
      </c>
    </row>
    <row r="47" customFormat="false" ht="15" hidden="false" customHeight="false" outlineLevel="0" collapsed="false">
      <c r="A47" s="15" t="n">
        <v>332061923</v>
      </c>
      <c r="B47" s="16" t="s">
        <v>676</v>
      </c>
      <c r="C47" s="16" t="s">
        <v>702</v>
      </c>
      <c r="D47" s="16" t="n">
        <v>1.29</v>
      </c>
      <c r="E47" s="16" t="n">
        <v>830</v>
      </c>
      <c r="F47" s="16" t="n">
        <v>2805746</v>
      </c>
      <c r="G47" s="16" t="n">
        <v>3380</v>
      </c>
      <c r="H47" s="16" t="s">
        <v>63</v>
      </c>
    </row>
    <row r="48" customFormat="false" ht="15" hidden="false" customHeight="false" outlineLevel="0" collapsed="false">
      <c r="A48" s="15" t="n">
        <v>332082043</v>
      </c>
      <c r="B48" s="16" t="s">
        <v>676</v>
      </c>
      <c r="C48" s="16" t="s">
        <v>703</v>
      </c>
      <c r="D48" s="16" t="n">
        <v>1.31</v>
      </c>
      <c r="E48" s="16" t="n">
        <v>830</v>
      </c>
      <c r="F48" s="16" t="n">
        <v>2742458</v>
      </c>
      <c r="G48" s="16" t="n">
        <v>3304</v>
      </c>
      <c r="H48" s="16" t="s">
        <v>63</v>
      </c>
    </row>
    <row r="49" customFormat="false" ht="15" hidden="false" customHeight="false" outlineLevel="0" collapsed="false">
      <c r="A49" s="15" t="n">
        <v>333241337</v>
      </c>
      <c r="B49" s="16" t="s">
        <v>676</v>
      </c>
      <c r="C49" s="16" t="s">
        <v>703</v>
      </c>
      <c r="D49" s="16" t="n">
        <v>1.31</v>
      </c>
      <c r="E49" s="16" t="n">
        <v>830</v>
      </c>
      <c r="F49" s="16" t="n">
        <v>2805746</v>
      </c>
      <c r="G49" s="16" t="n">
        <v>3380</v>
      </c>
      <c r="H49" s="16" t="s">
        <v>63</v>
      </c>
    </row>
    <row r="50" customFormat="false" ht="15" hidden="false" customHeight="false" outlineLevel="0" collapsed="false">
      <c r="A50" s="15" t="n">
        <v>333675853</v>
      </c>
      <c r="B50" s="16" t="s">
        <v>676</v>
      </c>
      <c r="C50" s="16" t="s">
        <v>703</v>
      </c>
      <c r="D50" s="16" t="n">
        <v>1.31</v>
      </c>
      <c r="E50" s="16" t="n">
        <v>830</v>
      </c>
      <c r="F50" s="16" t="n">
        <v>2805746</v>
      </c>
      <c r="G50" s="16" t="n">
        <v>3380</v>
      </c>
      <c r="H50" s="16" t="s">
        <v>63</v>
      </c>
    </row>
    <row r="51" customFormat="false" ht="15" hidden="false" customHeight="false" outlineLevel="0" collapsed="false">
      <c r="A51" s="15" t="n">
        <v>313727519</v>
      </c>
      <c r="B51" s="16" t="s">
        <v>676</v>
      </c>
      <c r="C51" s="16" t="s">
        <v>704</v>
      </c>
      <c r="D51" s="16" t="n">
        <v>1.32</v>
      </c>
      <c r="E51" s="16" t="n">
        <v>112.5</v>
      </c>
      <c r="F51" s="16" t="n">
        <v>106000</v>
      </c>
      <c r="G51" s="16" t="n">
        <v>942</v>
      </c>
      <c r="H51" s="16" t="s">
        <v>68</v>
      </c>
    </row>
    <row r="52" customFormat="false" ht="15" hidden="false" customHeight="false" outlineLevel="0" collapsed="false">
      <c r="A52" s="15" t="n">
        <v>333227260</v>
      </c>
      <c r="B52" s="16" t="s">
        <v>676</v>
      </c>
      <c r="C52" s="16" t="s">
        <v>705</v>
      </c>
      <c r="D52" s="16" t="n">
        <v>1.38</v>
      </c>
      <c r="E52" s="16" t="n">
        <v>275</v>
      </c>
      <c r="F52" s="16" t="n">
        <v>580000</v>
      </c>
      <c r="G52" s="16" t="n">
        <v>2109</v>
      </c>
      <c r="H52" s="16" t="s">
        <v>63</v>
      </c>
    </row>
    <row r="53" customFormat="false" ht="15" hidden="false" customHeight="false" outlineLevel="0" collapsed="false">
      <c r="A53" s="15" t="n">
        <v>332479534</v>
      </c>
      <c r="B53" s="16" t="s">
        <v>676</v>
      </c>
      <c r="C53" s="16" t="s">
        <v>706</v>
      </c>
      <c r="D53" s="16" t="n">
        <v>1.4</v>
      </c>
      <c r="E53" s="16" t="n">
        <v>419</v>
      </c>
      <c r="F53" s="16" t="n">
        <v>1241667</v>
      </c>
      <c r="G53" s="16" t="n">
        <v>2963</v>
      </c>
      <c r="H53" s="16" t="s">
        <v>68</v>
      </c>
    </row>
    <row r="54" customFormat="false" ht="22.35" hidden="false" customHeight="false" outlineLevel="0" collapsed="false">
      <c r="A54" s="15" t="n">
        <v>335076851</v>
      </c>
      <c r="B54" s="16" t="s">
        <v>678</v>
      </c>
      <c r="C54" s="16" t="s">
        <v>706</v>
      </c>
      <c r="D54" s="16" t="n">
        <v>1.4</v>
      </c>
      <c r="E54" s="16" t="n">
        <v>120</v>
      </c>
      <c r="F54" s="16" t="n">
        <v>285000</v>
      </c>
      <c r="G54" s="16" t="n">
        <v>2375</v>
      </c>
      <c r="H54" s="16" t="s">
        <v>68</v>
      </c>
    </row>
    <row r="55" customFormat="false" ht="15" hidden="false" customHeight="false" outlineLevel="0" collapsed="false">
      <c r="A55" s="15" t="n">
        <v>334969216</v>
      </c>
      <c r="B55" s="16" t="s">
        <v>676</v>
      </c>
      <c r="C55" s="16" t="s">
        <v>706</v>
      </c>
      <c r="D55" s="16" t="n">
        <v>1.4</v>
      </c>
      <c r="E55" s="16" t="n">
        <v>156.9</v>
      </c>
      <c r="F55" s="16" t="n">
        <v>523000</v>
      </c>
      <c r="G55" s="16" t="n">
        <v>3333</v>
      </c>
      <c r="H55" s="16" t="s">
        <v>63</v>
      </c>
    </row>
    <row r="56" customFormat="false" ht="22.35" hidden="false" customHeight="false" outlineLevel="0" collapsed="false">
      <c r="A56" s="15" t="n">
        <v>332336515</v>
      </c>
      <c r="B56" s="16" t="s">
        <v>678</v>
      </c>
      <c r="C56" s="16" t="s">
        <v>706</v>
      </c>
      <c r="D56" s="16" t="n">
        <v>1.4</v>
      </c>
      <c r="E56" s="16" t="n">
        <v>244</v>
      </c>
      <c r="F56" s="16" t="n">
        <v>600000</v>
      </c>
      <c r="G56" s="16" t="n">
        <v>2459</v>
      </c>
      <c r="H56" s="16" t="s">
        <v>63</v>
      </c>
    </row>
    <row r="57" customFormat="false" ht="15" hidden="false" customHeight="false" outlineLevel="0" collapsed="false">
      <c r="A57" s="15" t="n">
        <v>334702161</v>
      </c>
      <c r="B57" s="16" t="s">
        <v>676</v>
      </c>
      <c r="C57" s="16" t="s">
        <v>706</v>
      </c>
      <c r="D57" s="16" t="n">
        <v>1.4</v>
      </c>
      <c r="E57" s="16" t="n">
        <v>259</v>
      </c>
      <c r="F57" s="16" t="n">
        <v>650000</v>
      </c>
      <c r="G57" s="16" t="n">
        <v>2510</v>
      </c>
      <c r="H57" s="16" t="s">
        <v>63</v>
      </c>
    </row>
    <row r="58" customFormat="false" ht="15" hidden="false" customHeight="false" outlineLevel="0" collapsed="false">
      <c r="A58" s="15" t="n">
        <v>333920530</v>
      </c>
      <c r="B58" s="16" t="s">
        <v>676</v>
      </c>
      <c r="C58" s="16" t="s">
        <v>706</v>
      </c>
      <c r="D58" s="16" t="n">
        <v>1.4</v>
      </c>
      <c r="E58" s="16" t="n">
        <v>160</v>
      </c>
      <c r="F58" s="16" t="n">
        <v>530000</v>
      </c>
      <c r="G58" s="16" t="n">
        <v>3312</v>
      </c>
      <c r="H58" s="16" t="s">
        <v>68</v>
      </c>
    </row>
    <row r="59" customFormat="false" ht="15" hidden="false" customHeight="false" outlineLevel="0" collapsed="false">
      <c r="A59" s="15" t="n">
        <v>331849882</v>
      </c>
      <c r="B59" s="16" t="s">
        <v>676</v>
      </c>
      <c r="C59" s="16" t="s">
        <v>706</v>
      </c>
      <c r="D59" s="16" t="n">
        <v>1.4</v>
      </c>
      <c r="E59" s="16" t="n">
        <v>253</v>
      </c>
      <c r="F59" s="16" t="n">
        <v>737917</v>
      </c>
      <c r="G59" s="16" t="n">
        <v>2917</v>
      </c>
      <c r="H59" s="16" t="s">
        <v>68</v>
      </c>
    </row>
    <row r="60" customFormat="false" ht="15" hidden="false" customHeight="false" outlineLevel="0" collapsed="false">
      <c r="A60" s="15" t="n">
        <v>334574979</v>
      </c>
      <c r="B60" s="16" t="s">
        <v>676</v>
      </c>
      <c r="C60" s="16" t="s">
        <v>706</v>
      </c>
      <c r="D60" s="16" t="n">
        <v>1.4</v>
      </c>
      <c r="E60" s="16" t="n">
        <v>122</v>
      </c>
      <c r="F60" s="16" t="n">
        <v>280000</v>
      </c>
      <c r="G60" s="16" t="n">
        <v>2295</v>
      </c>
      <c r="H60" s="16" t="s">
        <v>68</v>
      </c>
    </row>
    <row r="61" customFormat="false" ht="22.35" hidden="false" customHeight="false" outlineLevel="0" collapsed="false">
      <c r="A61" s="15" t="n">
        <v>334908186</v>
      </c>
      <c r="B61" s="16" t="s">
        <v>678</v>
      </c>
      <c r="C61" s="16" t="s">
        <v>706</v>
      </c>
      <c r="D61" s="16" t="n">
        <v>1.4</v>
      </c>
      <c r="E61" s="16" t="n">
        <v>244</v>
      </c>
      <c r="F61" s="16" t="n">
        <v>711667</v>
      </c>
      <c r="G61" s="16" t="n">
        <v>2917</v>
      </c>
      <c r="H61" s="16" t="s">
        <v>63</v>
      </c>
    </row>
    <row r="62" customFormat="false" ht="15" hidden="false" customHeight="false" outlineLevel="0" collapsed="false">
      <c r="A62" s="15" t="n">
        <v>332872354</v>
      </c>
      <c r="B62" s="16" t="s">
        <v>676</v>
      </c>
      <c r="C62" s="16" t="s">
        <v>706</v>
      </c>
      <c r="D62" s="16" t="n">
        <v>1.4</v>
      </c>
      <c r="E62" s="16" t="n">
        <v>250</v>
      </c>
      <c r="F62" s="16" t="n">
        <v>680000</v>
      </c>
      <c r="G62" s="16" t="n">
        <v>2720</v>
      </c>
      <c r="H62" s="16" t="s">
        <v>68</v>
      </c>
    </row>
    <row r="63" customFormat="false" ht="22.35" hidden="false" customHeight="false" outlineLevel="0" collapsed="false">
      <c r="A63" s="15" t="n">
        <v>332390859</v>
      </c>
      <c r="B63" s="16" t="s">
        <v>678</v>
      </c>
      <c r="C63" s="16" t="s">
        <v>706</v>
      </c>
      <c r="D63" s="16" t="n">
        <v>1.4</v>
      </c>
      <c r="E63" s="16" t="n">
        <v>159</v>
      </c>
      <c r="F63" s="16" t="n">
        <v>420000</v>
      </c>
      <c r="G63" s="16" t="n">
        <v>2642</v>
      </c>
      <c r="H63" s="16" t="s">
        <v>63</v>
      </c>
    </row>
    <row r="64" customFormat="false" ht="22.35" hidden="false" customHeight="false" outlineLevel="0" collapsed="false">
      <c r="A64" s="15" t="n">
        <v>333023271</v>
      </c>
      <c r="B64" s="16" t="s">
        <v>678</v>
      </c>
      <c r="C64" s="16" t="s">
        <v>707</v>
      </c>
      <c r="D64" s="16" t="n">
        <v>1.41</v>
      </c>
      <c r="E64" s="16" t="n">
        <v>112</v>
      </c>
      <c r="F64" s="16" t="n">
        <v>350000</v>
      </c>
      <c r="G64" s="16" t="n">
        <v>3125</v>
      </c>
      <c r="H64" s="16" t="s">
        <v>68</v>
      </c>
    </row>
    <row r="65" customFormat="false" ht="15" hidden="false" customHeight="false" outlineLevel="0" collapsed="false">
      <c r="A65" s="15" t="n">
        <v>331426581</v>
      </c>
      <c r="B65" s="16" t="s">
        <v>676</v>
      </c>
      <c r="C65" s="16" t="s">
        <v>708</v>
      </c>
      <c r="D65" s="16" t="n">
        <v>1.43</v>
      </c>
      <c r="E65" s="16" t="n">
        <v>1276</v>
      </c>
      <c r="F65" s="16" t="n">
        <v>4313412</v>
      </c>
      <c r="G65" s="16" t="n">
        <v>3380</v>
      </c>
      <c r="H65" s="16" t="s">
        <v>63</v>
      </c>
    </row>
    <row r="66" customFormat="false" ht="15" hidden="false" customHeight="false" outlineLevel="0" collapsed="false">
      <c r="A66" s="15" t="n">
        <v>332191087</v>
      </c>
      <c r="B66" s="16" t="s">
        <v>676</v>
      </c>
      <c r="C66" s="16" t="s">
        <v>708</v>
      </c>
      <c r="D66" s="16" t="n">
        <v>1.43</v>
      </c>
      <c r="E66" s="16" t="n">
        <v>1276</v>
      </c>
      <c r="F66" s="16" t="n">
        <v>4313412</v>
      </c>
      <c r="G66" s="16" t="n">
        <v>3380</v>
      </c>
      <c r="H66" s="16" t="s">
        <v>63</v>
      </c>
    </row>
    <row r="67" customFormat="false" ht="15" hidden="false" customHeight="false" outlineLevel="0" collapsed="false">
      <c r="A67" s="15" t="n">
        <v>333688167</v>
      </c>
      <c r="B67" s="16" t="s">
        <v>676</v>
      </c>
      <c r="C67" s="16" t="s">
        <v>708</v>
      </c>
      <c r="D67" s="16" t="n">
        <v>1.43</v>
      </c>
      <c r="E67" s="16" t="n">
        <v>3037</v>
      </c>
      <c r="F67" s="16" t="n">
        <v>10330667</v>
      </c>
      <c r="G67" s="16" t="n">
        <v>3402</v>
      </c>
      <c r="H67" s="16" t="s">
        <v>63</v>
      </c>
    </row>
    <row r="68" customFormat="false" ht="22.35" hidden="false" customHeight="false" outlineLevel="0" collapsed="false">
      <c r="A68" s="15" t="n">
        <v>329013118</v>
      </c>
      <c r="B68" s="16" t="s">
        <v>678</v>
      </c>
      <c r="C68" s="16" t="s">
        <v>709</v>
      </c>
      <c r="D68" s="16" t="n">
        <v>1.43</v>
      </c>
      <c r="E68" s="16" t="n">
        <v>226.6</v>
      </c>
      <c r="F68" s="16" t="n">
        <v>230000</v>
      </c>
      <c r="G68" s="16" t="n">
        <v>1015</v>
      </c>
      <c r="H68" s="16" t="s">
        <v>63</v>
      </c>
    </row>
    <row r="69" customFormat="false" ht="15" hidden="false" customHeight="false" outlineLevel="0" collapsed="false">
      <c r="A69" s="15" t="n">
        <v>332210253</v>
      </c>
      <c r="B69" s="16" t="s">
        <v>676</v>
      </c>
      <c r="C69" s="16" t="s">
        <v>708</v>
      </c>
      <c r="D69" s="16" t="n">
        <v>1.43</v>
      </c>
      <c r="E69" s="16" t="n">
        <v>1276</v>
      </c>
      <c r="F69" s="16" t="n">
        <v>4313412</v>
      </c>
      <c r="G69" s="16" t="n">
        <v>3380</v>
      </c>
      <c r="H69" s="16" t="s">
        <v>63</v>
      </c>
    </row>
    <row r="70" customFormat="false" ht="15" hidden="false" customHeight="false" outlineLevel="0" collapsed="false">
      <c r="A70" s="15" t="n">
        <v>333170280</v>
      </c>
      <c r="B70" s="16" t="s">
        <v>676</v>
      </c>
      <c r="C70" s="16" t="s">
        <v>708</v>
      </c>
      <c r="D70" s="16" t="n">
        <v>1.43</v>
      </c>
      <c r="E70" s="16" t="n">
        <v>2552</v>
      </c>
      <c r="F70" s="16" t="n">
        <v>8529529</v>
      </c>
      <c r="G70" s="16" t="n">
        <v>3342</v>
      </c>
      <c r="H70" s="16" t="s">
        <v>63</v>
      </c>
    </row>
    <row r="71" customFormat="false" ht="15" hidden="false" customHeight="false" outlineLevel="0" collapsed="false">
      <c r="A71" s="15" t="n">
        <v>333225862</v>
      </c>
      <c r="B71" s="16" t="s">
        <v>676</v>
      </c>
      <c r="C71" s="16" t="s">
        <v>708</v>
      </c>
      <c r="D71" s="16" t="n">
        <v>1.43</v>
      </c>
      <c r="E71" s="16" t="n">
        <v>2552</v>
      </c>
      <c r="F71" s="16" t="n">
        <v>8529529</v>
      </c>
      <c r="G71" s="16" t="n">
        <v>3342</v>
      </c>
      <c r="H71" s="16" t="s">
        <v>63</v>
      </c>
    </row>
    <row r="72" customFormat="false" ht="15" hidden="false" customHeight="false" outlineLevel="0" collapsed="false">
      <c r="A72" s="15" t="n">
        <v>332001440</v>
      </c>
      <c r="B72" s="16" t="s">
        <v>676</v>
      </c>
      <c r="C72" s="16" t="s">
        <v>708</v>
      </c>
      <c r="D72" s="16" t="n">
        <v>1.43</v>
      </c>
      <c r="E72" s="16" t="n">
        <v>1038</v>
      </c>
      <c r="F72" s="16" t="n">
        <v>3430000</v>
      </c>
      <c r="G72" s="16" t="n">
        <v>3304</v>
      </c>
      <c r="H72" s="16" t="s">
        <v>63</v>
      </c>
    </row>
    <row r="73" customFormat="false" ht="15" hidden="false" customHeight="false" outlineLevel="0" collapsed="false">
      <c r="A73" s="15" t="n">
        <v>332951812</v>
      </c>
      <c r="B73" s="16" t="s">
        <v>676</v>
      </c>
      <c r="C73" s="16" t="s">
        <v>708</v>
      </c>
      <c r="D73" s="16" t="n">
        <v>1.43</v>
      </c>
      <c r="E73" s="16" t="n">
        <v>485</v>
      </c>
      <c r="F73" s="16" t="n">
        <v>1701138</v>
      </c>
      <c r="G73" s="16" t="n">
        <v>3508</v>
      </c>
      <c r="H73" s="16" t="s">
        <v>63</v>
      </c>
    </row>
    <row r="74" customFormat="false" ht="15" hidden="false" customHeight="false" outlineLevel="0" collapsed="false">
      <c r="A74" s="15" t="n">
        <v>332951813</v>
      </c>
      <c r="B74" s="16" t="s">
        <v>676</v>
      </c>
      <c r="C74" s="16" t="s">
        <v>708</v>
      </c>
      <c r="D74" s="16" t="n">
        <v>1.43</v>
      </c>
      <c r="E74" s="16" t="n">
        <v>1276</v>
      </c>
      <c r="F74" s="16" t="n">
        <v>4216117</v>
      </c>
      <c r="G74" s="16" t="n">
        <v>3304</v>
      </c>
      <c r="H74" s="16" t="s">
        <v>63</v>
      </c>
    </row>
    <row r="75" customFormat="false" ht="15" hidden="false" customHeight="false" outlineLevel="0" collapsed="false">
      <c r="A75" s="15" t="n">
        <v>334604209</v>
      </c>
      <c r="B75" s="16" t="s">
        <v>676</v>
      </c>
      <c r="C75" s="16" t="s">
        <v>710</v>
      </c>
      <c r="D75" s="16" t="n">
        <v>1.44</v>
      </c>
      <c r="E75" s="16" t="n">
        <v>439</v>
      </c>
      <c r="F75" s="16" t="n">
        <v>1205100</v>
      </c>
      <c r="G75" s="16" t="n">
        <v>2745</v>
      </c>
      <c r="H75" s="16" t="s">
        <v>63</v>
      </c>
    </row>
    <row r="76" customFormat="false" ht="15" hidden="false" customHeight="false" outlineLevel="0" collapsed="false">
      <c r="A76" s="15" t="n">
        <v>332035817</v>
      </c>
      <c r="B76" s="16" t="s">
        <v>676</v>
      </c>
      <c r="C76" s="16" t="s">
        <v>710</v>
      </c>
      <c r="D76" s="16" t="n">
        <v>1.44</v>
      </c>
      <c r="E76" s="16" t="n">
        <v>439.4</v>
      </c>
      <c r="F76" s="16" t="n">
        <v>1206153</v>
      </c>
      <c r="G76" s="16" t="n">
        <v>2745</v>
      </c>
      <c r="H76" s="16" t="s">
        <v>63</v>
      </c>
    </row>
    <row r="77" customFormat="false" ht="15" hidden="false" customHeight="false" outlineLevel="0" collapsed="false">
      <c r="A77" s="15" t="n">
        <v>332875569</v>
      </c>
      <c r="B77" s="16" t="s">
        <v>676</v>
      </c>
      <c r="C77" s="16" t="s">
        <v>710</v>
      </c>
      <c r="D77" s="16" t="n">
        <v>1.44</v>
      </c>
      <c r="E77" s="16" t="n">
        <v>130</v>
      </c>
      <c r="F77" s="16" t="n">
        <v>356850</v>
      </c>
      <c r="G77" s="16" t="n">
        <v>2745</v>
      </c>
      <c r="H77" s="16" t="s">
        <v>63</v>
      </c>
    </row>
    <row r="78" customFormat="false" ht="15" hidden="false" customHeight="false" outlineLevel="0" collapsed="false">
      <c r="A78" s="15" t="n">
        <v>332875574</v>
      </c>
      <c r="B78" s="16" t="s">
        <v>676</v>
      </c>
      <c r="C78" s="16" t="s">
        <v>710</v>
      </c>
      <c r="D78" s="16" t="n">
        <v>1.44</v>
      </c>
      <c r="E78" s="16" t="n">
        <v>309.4</v>
      </c>
      <c r="F78" s="16" t="n">
        <v>849303</v>
      </c>
      <c r="G78" s="16" t="n">
        <v>2745</v>
      </c>
      <c r="H78" s="16" t="s">
        <v>63</v>
      </c>
    </row>
    <row r="79" customFormat="false" ht="15" hidden="false" customHeight="false" outlineLevel="0" collapsed="false">
      <c r="A79" s="15" t="n">
        <v>327105655</v>
      </c>
      <c r="B79" s="16" t="s">
        <v>676</v>
      </c>
      <c r="C79" s="16" t="s">
        <v>711</v>
      </c>
      <c r="D79" s="16" t="n">
        <v>1.46</v>
      </c>
      <c r="E79" s="16" t="n">
        <v>255</v>
      </c>
      <c r="F79" s="16" t="n">
        <v>500000</v>
      </c>
      <c r="G79" s="16" t="n">
        <v>1961</v>
      </c>
      <c r="H79" s="16" t="s">
        <v>63</v>
      </c>
    </row>
    <row r="80" customFormat="false" ht="15" hidden="false" customHeight="false" outlineLevel="0" collapsed="false">
      <c r="A80" s="15" t="n">
        <v>333293999</v>
      </c>
      <c r="B80" s="16" t="s">
        <v>676</v>
      </c>
      <c r="C80" s="16" t="s">
        <v>711</v>
      </c>
      <c r="D80" s="16" t="n">
        <v>1.46</v>
      </c>
      <c r="E80" s="16" t="n">
        <v>1040</v>
      </c>
      <c r="F80" s="16" t="n">
        <v>3436333</v>
      </c>
      <c r="G80" s="16" t="n">
        <v>3304</v>
      </c>
      <c r="H80" s="16" t="s">
        <v>63</v>
      </c>
    </row>
    <row r="81" customFormat="false" ht="15" hidden="false" customHeight="false" outlineLevel="0" collapsed="false">
      <c r="A81" s="15" t="n">
        <v>331415159</v>
      </c>
      <c r="B81" s="16" t="s">
        <v>676</v>
      </c>
      <c r="C81" s="16" t="s">
        <v>711</v>
      </c>
      <c r="D81" s="16" t="n">
        <v>1.46</v>
      </c>
      <c r="E81" s="16" t="n">
        <v>1040</v>
      </c>
      <c r="F81" s="16" t="n">
        <v>3436333</v>
      </c>
      <c r="G81" s="16" t="n">
        <v>3304</v>
      </c>
      <c r="H81" s="16" t="s">
        <v>63</v>
      </c>
    </row>
    <row r="82" customFormat="false" ht="15" hidden="false" customHeight="false" outlineLevel="0" collapsed="false">
      <c r="A82" s="15" t="n">
        <v>332951815</v>
      </c>
      <c r="B82" s="16" t="s">
        <v>676</v>
      </c>
      <c r="C82" s="16" t="s">
        <v>711</v>
      </c>
      <c r="D82" s="16" t="n">
        <v>1.46</v>
      </c>
      <c r="E82" s="16" t="n">
        <v>367</v>
      </c>
      <c r="F82" s="16" t="n">
        <v>1287252</v>
      </c>
      <c r="G82" s="16" t="n">
        <v>3507</v>
      </c>
      <c r="H82" s="16" t="s">
        <v>63</v>
      </c>
    </row>
    <row r="83" customFormat="false" ht="15" hidden="false" customHeight="false" outlineLevel="0" collapsed="false">
      <c r="A83" s="15" t="n">
        <v>330977833</v>
      </c>
      <c r="B83" s="16" t="s">
        <v>676</v>
      </c>
      <c r="C83" s="16" t="s">
        <v>711</v>
      </c>
      <c r="D83" s="16" t="n">
        <v>1.46</v>
      </c>
      <c r="E83" s="16" t="n">
        <v>1040</v>
      </c>
      <c r="F83" s="16" t="n">
        <v>3436333</v>
      </c>
      <c r="G83" s="16" t="n">
        <v>3304</v>
      </c>
      <c r="H83" s="16" t="s">
        <v>63</v>
      </c>
    </row>
    <row r="84" customFormat="false" ht="15" hidden="false" customHeight="false" outlineLevel="0" collapsed="false">
      <c r="A84" s="15" t="n">
        <v>331289328</v>
      </c>
      <c r="B84" s="16" t="s">
        <v>676</v>
      </c>
      <c r="C84" s="16" t="s">
        <v>711</v>
      </c>
      <c r="D84" s="16" t="n">
        <v>1.46</v>
      </c>
      <c r="E84" s="16" t="n">
        <v>1040</v>
      </c>
      <c r="F84" s="16" t="n">
        <v>3436333</v>
      </c>
      <c r="G84" s="16" t="n">
        <v>3304</v>
      </c>
      <c r="H84" s="16" t="s">
        <v>63</v>
      </c>
    </row>
    <row r="85" customFormat="false" ht="15" hidden="false" customHeight="false" outlineLevel="0" collapsed="false">
      <c r="A85" s="15" t="n">
        <v>333921091</v>
      </c>
      <c r="B85" s="16" t="s">
        <v>676</v>
      </c>
      <c r="C85" s="16" t="s">
        <v>712</v>
      </c>
      <c r="D85" s="16" t="n">
        <v>1.48</v>
      </c>
      <c r="E85" s="16" t="n">
        <v>535</v>
      </c>
      <c r="F85" s="16" t="n">
        <v>1876512</v>
      </c>
      <c r="G85" s="16" t="n">
        <v>3507</v>
      </c>
      <c r="H85" s="16" t="s">
        <v>63</v>
      </c>
    </row>
    <row r="86" customFormat="false" ht="15" hidden="false" customHeight="false" outlineLevel="0" collapsed="false">
      <c r="A86" s="15" t="n">
        <v>334488235</v>
      </c>
      <c r="B86" s="16" t="s">
        <v>676</v>
      </c>
      <c r="C86" s="16" t="s">
        <v>713</v>
      </c>
      <c r="D86" s="16" t="n">
        <v>1.48</v>
      </c>
      <c r="E86" s="16" t="n">
        <v>137.3</v>
      </c>
      <c r="F86" s="16" t="n">
        <v>180000</v>
      </c>
      <c r="G86" s="16" t="n">
        <v>1311</v>
      </c>
      <c r="H86" s="16" t="s">
        <v>68</v>
      </c>
    </row>
    <row r="87" customFormat="false" ht="15" hidden="false" customHeight="false" outlineLevel="0" collapsed="false">
      <c r="A87" s="15" t="n">
        <v>334383202</v>
      </c>
      <c r="B87" s="16" t="s">
        <v>676</v>
      </c>
      <c r="C87" s="16" t="s">
        <v>712</v>
      </c>
      <c r="D87" s="16" t="n">
        <v>1.48</v>
      </c>
      <c r="E87" s="16" t="n">
        <v>535</v>
      </c>
      <c r="F87" s="16" t="n">
        <v>1876512</v>
      </c>
      <c r="G87" s="16" t="n">
        <v>3507</v>
      </c>
      <c r="H87" s="16" t="s">
        <v>63</v>
      </c>
    </row>
    <row r="88" customFormat="false" ht="15" hidden="false" customHeight="false" outlineLevel="0" collapsed="false">
      <c r="A88" s="15" t="n">
        <v>333976250</v>
      </c>
      <c r="B88" s="16" t="s">
        <v>676</v>
      </c>
      <c r="C88" s="16" t="s">
        <v>712</v>
      </c>
      <c r="D88" s="16" t="n">
        <v>1.48</v>
      </c>
      <c r="E88" s="16" t="n">
        <v>535</v>
      </c>
      <c r="F88" s="16" t="n">
        <v>1876512</v>
      </c>
      <c r="G88" s="16" t="n">
        <v>3507</v>
      </c>
      <c r="H88" s="16" t="s">
        <v>63</v>
      </c>
    </row>
    <row r="89" customFormat="false" ht="15" hidden="false" customHeight="false" outlineLevel="0" collapsed="false">
      <c r="A89" s="15" t="n">
        <v>333569565</v>
      </c>
      <c r="B89" s="16" t="s">
        <v>690</v>
      </c>
      <c r="C89" s="16" t="s">
        <v>84</v>
      </c>
      <c r="D89" s="16" t="n">
        <v>1.49</v>
      </c>
      <c r="E89" s="16" t="n">
        <v>867</v>
      </c>
      <c r="F89" s="16" t="n">
        <v>2500000</v>
      </c>
      <c r="G89" s="16" t="n">
        <v>2884</v>
      </c>
      <c r="H89" s="16" t="s">
        <v>63</v>
      </c>
    </row>
    <row r="90" customFormat="false" ht="22.35" hidden="false" customHeight="false" outlineLevel="0" collapsed="false">
      <c r="A90" s="15" t="n">
        <v>334112445</v>
      </c>
      <c r="B90" s="16" t="s">
        <v>678</v>
      </c>
      <c r="C90" s="16" t="s">
        <v>84</v>
      </c>
      <c r="D90" s="16" t="n">
        <v>1.49</v>
      </c>
      <c r="E90" s="16" t="n">
        <v>652</v>
      </c>
      <c r="F90" s="16" t="n">
        <v>2000000</v>
      </c>
      <c r="G90" s="16" t="n">
        <v>3067</v>
      </c>
      <c r="H90" s="16" t="s">
        <v>63</v>
      </c>
    </row>
    <row r="91" customFormat="false" ht="15" hidden="false" customHeight="false" outlineLevel="0" collapsed="false">
      <c r="A91" s="15" t="n">
        <v>316427871</v>
      </c>
      <c r="B91" s="16" t="s">
        <v>676</v>
      </c>
      <c r="C91" s="16" t="s">
        <v>714</v>
      </c>
      <c r="D91" s="16" t="n">
        <v>1.49</v>
      </c>
      <c r="E91" s="16" t="n">
        <v>121</v>
      </c>
      <c r="F91" s="16" t="n">
        <v>265000</v>
      </c>
      <c r="G91" s="16" t="n">
        <v>2190</v>
      </c>
      <c r="H91" s="16" t="s">
        <v>63</v>
      </c>
    </row>
    <row r="92" customFormat="false" ht="15" hidden="false" customHeight="false" outlineLevel="0" collapsed="false">
      <c r="A92" s="15" t="n">
        <v>333685020</v>
      </c>
      <c r="B92" s="16" t="s">
        <v>676</v>
      </c>
      <c r="C92" s="16" t="s">
        <v>715</v>
      </c>
      <c r="D92" s="16" t="n">
        <v>1.5</v>
      </c>
      <c r="E92" s="16" t="n">
        <v>1330.9</v>
      </c>
      <c r="F92" s="16" t="n">
        <v>4059245</v>
      </c>
      <c r="G92" s="16" t="n">
        <v>3050</v>
      </c>
      <c r="H92" s="16" t="s">
        <v>63</v>
      </c>
    </row>
    <row r="93" customFormat="false" ht="15" hidden="false" customHeight="false" outlineLevel="0" collapsed="false">
      <c r="A93" s="15" t="n">
        <v>334603754</v>
      </c>
      <c r="B93" s="16" t="s">
        <v>676</v>
      </c>
      <c r="C93" s="16" t="s">
        <v>716</v>
      </c>
      <c r="D93" s="16" t="n">
        <v>1.5</v>
      </c>
      <c r="E93" s="16" t="n">
        <v>5809</v>
      </c>
      <c r="F93" s="16" t="n">
        <v>19636840</v>
      </c>
      <c r="G93" s="16" t="n">
        <v>3380</v>
      </c>
      <c r="H93" s="16" t="s">
        <v>63</v>
      </c>
    </row>
    <row r="94" customFormat="false" ht="15" hidden="false" customHeight="false" outlineLevel="0" collapsed="false">
      <c r="A94" s="15" t="n">
        <v>334603584</v>
      </c>
      <c r="B94" s="16" t="s">
        <v>676</v>
      </c>
      <c r="C94" s="16" t="s">
        <v>716</v>
      </c>
      <c r="D94" s="16" t="n">
        <v>1.5</v>
      </c>
      <c r="E94" s="16" t="n">
        <v>1276</v>
      </c>
      <c r="F94" s="16" t="n">
        <v>4216120</v>
      </c>
      <c r="G94" s="16" t="n">
        <v>3304</v>
      </c>
      <c r="H94" s="16" t="s">
        <v>63</v>
      </c>
    </row>
    <row r="95" customFormat="false" ht="15" hidden="false" customHeight="false" outlineLevel="0" collapsed="false">
      <c r="A95" s="15" t="n">
        <v>334604096</v>
      </c>
      <c r="B95" s="16" t="s">
        <v>676</v>
      </c>
      <c r="C95" s="16" t="s">
        <v>716</v>
      </c>
      <c r="D95" s="16" t="n">
        <v>1.5</v>
      </c>
      <c r="E95" s="16" t="n">
        <v>2801</v>
      </c>
      <c r="F95" s="16" t="n">
        <v>9353500</v>
      </c>
      <c r="G95" s="16" t="n">
        <v>3339</v>
      </c>
      <c r="H95" s="16" t="s">
        <v>63</v>
      </c>
    </row>
    <row r="96" customFormat="false" ht="15" hidden="false" customHeight="false" outlineLevel="0" collapsed="false">
      <c r="A96" s="15" t="n">
        <v>316074873</v>
      </c>
      <c r="B96" s="16" t="s">
        <v>676</v>
      </c>
      <c r="C96" s="16" t="s">
        <v>715</v>
      </c>
      <c r="D96" s="16" t="n">
        <v>1.5</v>
      </c>
      <c r="E96" s="16" t="n">
        <v>439.4</v>
      </c>
      <c r="F96" s="16" t="n">
        <v>1206153</v>
      </c>
      <c r="G96" s="16" t="n">
        <v>2745</v>
      </c>
      <c r="H96" s="16" t="s">
        <v>63</v>
      </c>
    </row>
    <row r="97" customFormat="false" ht="15" hidden="false" customHeight="false" outlineLevel="0" collapsed="false">
      <c r="A97" s="15" t="n">
        <v>334580141</v>
      </c>
      <c r="B97" s="16" t="s">
        <v>676</v>
      </c>
      <c r="C97" s="16" t="s">
        <v>715</v>
      </c>
      <c r="D97" s="16" t="n">
        <v>1.5</v>
      </c>
      <c r="E97" s="16" t="n">
        <v>309.4</v>
      </c>
      <c r="F97" s="16" t="n">
        <v>849303</v>
      </c>
      <c r="G97" s="16" t="n">
        <v>2745</v>
      </c>
      <c r="H97" s="16" t="s">
        <v>63</v>
      </c>
    </row>
    <row r="98" customFormat="false" ht="15" hidden="false" customHeight="false" outlineLevel="0" collapsed="false">
      <c r="A98" s="15" t="n">
        <v>334604086</v>
      </c>
      <c r="B98" s="16" t="s">
        <v>676</v>
      </c>
      <c r="C98" s="16" t="s">
        <v>716</v>
      </c>
      <c r="D98" s="16" t="n">
        <v>1.5</v>
      </c>
      <c r="E98" s="16" t="n">
        <v>1276</v>
      </c>
      <c r="F98" s="16" t="n">
        <v>4216100</v>
      </c>
      <c r="G98" s="16" t="n">
        <v>3304</v>
      </c>
      <c r="H98" s="16" t="s">
        <v>63</v>
      </c>
    </row>
    <row r="99" customFormat="false" ht="15" hidden="false" customHeight="false" outlineLevel="0" collapsed="false">
      <c r="A99" s="15" t="n">
        <v>334603886</v>
      </c>
      <c r="B99" s="16" t="s">
        <v>676</v>
      </c>
      <c r="C99" s="16" t="s">
        <v>716</v>
      </c>
      <c r="D99" s="16" t="n">
        <v>1.5</v>
      </c>
      <c r="E99" s="16" t="n">
        <v>1276</v>
      </c>
      <c r="F99" s="16" t="n">
        <v>4313400</v>
      </c>
      <c r="G99" s="16" t="n">
        <v>3380</v>
      </c>
      <c r="H99" s="16" t="s">
        <v>63</v>
      </c>
    </row>
    <row r="100" customFormat="false" ht="15" hidden="false" customHeight="false" outlineLevel="0" collapsed="false">
      <c r="A100" s="15" t="n">
        <v>334603889</v>
      </c>
      <c r="B100" s="16" t="s">
        <v>676</v>
      </c>
      <c r="C100" s="16" t="s">
        <v>716</v>
      </c>
      <c r="D100" s="16" t="n">
        <v>1.5</v>
      </c>
      <c r="E100" s="16" t="n">
        <v>1040</v>
      </c>
      <c r="F100" s="16" t="n">
        <v>3436300</v>
      </c>
      <c r="G100" s="16" t="n">
        <v>3304</v>
      </c>
      <c r="H100" s="16" t="s">
        <v>63</v>
      </c>
    </row>
    <row r="101" customFormat="false" ht="15" hidden="false" customHeight="false" outlineLevel="0" collapsed="false">
      <c r="A101" s="15" t="n">
        <v>334982113</v>
      </c>
      <c r="B101" s="16" t="s">
        <v>676</v>
      </c>
      <c r="C101" s="16" t="s">
        <v>715</v>
      </c>
      <c r="D101" s="16" t="n">
        <v>1.5</v>
      </c>
      <c r="E101" s="16" t="n">
        <v>309.4</v>
      </c>
      <c r="F101" s="16" t="n">
        <v>849303</v>
      </c>
      <c r="G101" s="16" t="n">
        <v>2745</v>
      </c>
      <c r="H101" s="16" t="s">
        <v>63</v>
      </c>
    </row>
    <row r="102" customFormat="false" ht="15" hidden="false" customHeight="false" outlineLevel="0" collapsed="false">
      <c r="A102" s="15" t="n">
        <v>334982112</v>
      </c>
      <c r="B102" s="16" t="s">
        <v>676</v>
      </c>
      <c r="C102" s="16" t="s">
        <v>715</v>
      </c>
      <c r="D102" s="16" t="n">
        <v>1.5</v>
      </c>
      <c r="E102" s="16" t="n">
        <v>130</v>
      </c>
      <c r="F102" s="16" t="n">
        <v>356850</v>
      </c>
      <c r="G102" s="16" t="n">
        <v>2745</v>
      </c>
      <c r="H102" s="16" t="s">
        <v>63</v>
      </c>
    </row>
    <row r="103" customFormat="false" ht="15" hidden="false" customHeight="false" outlineLevel="0" collapsed="false">
      <c r="A103" s="15" t="n">
        <v>334604088</v>
      </c>
      <c r="B103" s="16" t="s">
        <v>676</v>
      </c>
      <c r="C103" s="16" t="s">
        <v>716</v>
      </c>
      <c r="D103" s="16" t="n">
        <v>1.5</v>
      </c>
      <c r="E103" s="16" t="n">
        <v>1525</v>
      </c>
      <c r="F103" s="16" t="n">
        <v>5137500</v>
      </c>
      <c r="G103" s="16" t="n">
        <v>3369</v>
      </c>
      <c r="H103" s="16" t="s">
        <v>63</v>
      </c>
    </row>
    <row r="104" customFormat="false" ht="15" hidden="false" customHeight="false" outlineLevel="0" collapsed="false">
      <c r="A104" s="15" t="n">
        <v>334604177</v>
      </c>
      <c r="B104" s="16" t="s">
        <v>676</v>
      </c>
      <c r="C104" s="16" t="s">
        <v>716</v>
      </c>
      <c r="D104" s="16" t="n">
        <v>1.5</v>
      </c>
      <c r="E104" s="16" t="n">
        <v>1761</v>
      </c>
      <c r="F104" s="16" t="n">
        <v>6014500</v>
      </c>
      <c r="G104" s="16" t="n">
        <v>3415</v>
      </c>
      <c r="H104" s="16" t="s">
        <v>63</v>
      </c>
    </row>
    <row r="105" customFormat="false" ht="15" hidden="false" customHeight="false" outlineLevel="0" collapsed="false">
      <c r="A105" s="15" t="n">
        <v>332695406</v>
      </c>
      <c r="B105" s="16" t="s">
        <v>690</v>
      </c>
      <c r="C105" s="16" t="s">
        <v>717</v>
      </c>
      <c r="D105" s="16" t="n">
        <v>1.51</v>
      </c>
      <c r="E105" s="16" t="n">
        <v>8730</v>
      </c>
      <c r="F105" s="16" t="n">
        <v>21744975</v>
      </c>
      <c r="G105" s="16" t="n">
        <v>2491</v>
      </c>
      <c r="H105" s="16" t="s">
        <v>63</v>
      </c>
    </row>
    <row r="106" customFormat="false" ht="15" hidden="false" customHeight="false" outlineLevel="0" collapsed="false">
      <c r="A106" s="15" t="n">
        <v>334686663</v>
      </c>
      <c r="B106" s="16" t="s">
        <v>676</v>
      </c>
      <c r="C106" s="16" t="s">
        <v>718</v>
      </c>
      <c r="D106" s="16" t="n">
        <v>1.51</v>
      </c>
      <c r="E106" s="16" t="n">
        <v>151</v>
      </c>
      <c r="F106" s="16" t="n">
        <v>390100</v>
      </c>
      <c r="G106" s="16" t="n">
        <v>2583</v>
      </c>
      <c r="H106" s="16" t="s">
        <v>63</v>
      </c>
    </row>
    <row r="107" customFormat="false" ht="15" hidden="false" customHeight="false" outlineLevel="0" collapsed="false">
      <c r="A107" s="15" t="n">
        <v>331849878</v>
      </c>
      <c r="B107" s="16" t="s">
        <v>676</v>
      </c>
      <c r="C107" s="16" t="s">
        <v>719</v>
      </c>
      <c r="D107" s="16" t="n">
        <v>1.52</v>
      </c>
      <c r="E107" s="16" t="n">
        <v>1837</v>
      </c>
      <c r="F107" s="16" t="n">
        <v>6888750</v>
      </c>
      <c r="G107" s="16" t="n">
        <v>3750</v>
      </c>
      <c r="H107" s="16" t="s">
        <v>63</v>
      </c>
    </row>
    <row r="108" customFormat="false" ht="22.35" hidden="false" customHeight="false" outlineLevel="0" collapsed="false">
      <c r="A108" s="15" t="n">
        <v>332805739</v>
      </c>
      <c r="B108" s="16" t="s">
        <v>678</v>
      </c>
      <c r="C108" s="16" t="s">
        <v>720</v>
      </c>
      <c r="D108" s="16" t="n">
        <v>1.52</v>
      </c>
      <c r="E108" s="16" t="n">
        <v>256.6</v>
      </c>
      <c r="F108" s="16" t="n">
        <v>649000</v>
      </c>
      <c r="G108" s="16" t="n">
        <v>2529</v>
      </c>
      <c r="H108" s="16" t="s">
        <v>68</v>
      </c>
    </row>
    <row r="109" customFormat="false" ht="15" hidden="false" customHeight="false" outlineLevel="0" collapsed="false">
      <c r="A109" s="15" t="n">
        <v>330302762</v>
      </c>
      <c r="B109" s="16" t="s">
        <v>676</v>
      </c>
      <c r="C109" s="16" t="s">
        <v>721</v>
      </c>
      <c r="D109" s="16" t="n">
        <v>1.54</v>
      </c>
      <c r="E109" s="16" t="n">
        <v>173.9</v>
      </c>
      <c r="F109" s="16" t="n">
        <v>424316</v>
      </c>
      <c r="G109" s="16" t="n">
        <v>2440</v>
      </c>
      <c r="H109" s="16" t="s">
        <v>63</v>
      </c>
    </row>
    <row r="110" customFormat="false" ht="15" hidden="false" customHeight="false" outlineLevel="0" collapsed="false">
      <c r="A110" s="15" t="n">
        <v>333936042</v>
      </c>
      <c r="B110" s="16" t="s">
        <v>676</v>
      </c>
      <c r="C110" s="16" t="s">
        <v>721</v>
      </c>
      <c r="D110" s="16" t="n">
        <v>1.54</v>
      </c>
      <c r="E110" s="16" t="n">
        <v>123</v>
      </c>
      <c r="F110" s="16" t="n">
        <v>301340</v>
      </c>
      <c r="G110" s="16" t="n">
        <v>2450</v>
      </c>
      <c r="H110" s="16" t="s">
        <v>63</v>
      </c>
    </row>
    <row r="111" customFormat="false" ht="15" hidden="false" customHeight="false" outlineLevel="0" collapsed="false">
      <c r="A111" s="15" t="n">
        <v>333935991</v>
      </c>
      <c r="B111" s="16" t="s">
        <v>676</v>
      </c>
      <c r="C111" s="16" t="s">
        <v>721</v>
      </c>
      <c r="D111" s="16" t="n">
        <v>1.54</v>
      </c>
      <c r="E111" s="16" t="n">
        <v>159</v>
      </c>
      <c r="F111" s="16" t="n">
        <v>389668</v>
      </c>
      <c r="G111" s="16" t="n">
        <v>2451</v>
      </c>
      <c r="H111" s="16" t="s">
        <v>63</v>
      </c>
    </row>
    <row r="112" customFormat="false" ht="22.35" hidden="false" customHeight="false" outlineLevel="0" collapsed="false">
      <c r="A112" s="15" t="n">
        <v>334330479</v>
      </c>
      <c r="B112" s="16" t="s">
        <v>678</v>
      </c>
      <c r="C112" s="16" t="s">
        <v>722</v>
      </c>
      <c r="D112" s="16" t="n">
        <v>1.55</v>
      </c>
      <c r="E112" s="16" t="n">
        <v>200</v>
      </c>
      <c r="F112" s="16" t="n">
        <v>200000</v>
      </c>
      <c r="G112" s="16" t="n">
        <v>1000</v>
      </c>
      <c r="H112" s="16" t="s">
        <v>68</v>
      </c>
    </row>
    <row r="113" customFormat="false" ht="15" hidden="false" customHeight="false" outlineLevel="0" collapsed="false">
      <c r="A113" s="15" t="n">
        <v>334702410</v>
      </c>
      <c r="B113" s="16" t="s">
        <v>676</v>
      </c>
      <c r="C113" s="16" t="s">
        <v>723</v>
      </c>
      <c r="D113" s="16" t="n">
        <v>1.56</v>
      </c>
      <c r="E113" s="16" t="n">
        <v>100</v>
      </c>
      <c r="F113" s="16" t="n">
        <v>185000</v>
      </c>
      <c r="G113" s="16" t="n">
        <v>1850</v>
      </c>
      <c r="H113" s="16" t="s">
        <v>63</v>
      </c>
    </row>
    <row r="114" customFormat="false" ht="15" hidden="false" customHeight="false" outlineLevel="0" collapsed="false">
      <c r="A114" s="15" t="n">
        <v>331722635</v>
      </c>
      <c r="B114" s="16" t="s">
        <v>676</v>
      </c>
      <c r="C114" s="16" t="s">
        <v>724</v>
      </c>
      <c r="D114" s="16" t="n">
        <v>1.57</v>
      </c>
      <c r="E114" s="16" t="n">
        <v>10899</v>
      </c>
      <c r="F114" s="16" t="n">
        <v>27222500</v>
      </c>
      <c r="G114" s="16" t="n">
        <v>2498</v>
      </c>
      <c r="H114" s="16" t="s">
        <v>63</v>
      </c>
    </row>
    <row r="115" customFormat="false" ht="15" hidden="false" customHeight="false" outlineLevel="0" collapsed="false">
      <c r="A115" s="15" t="n">
        <v>334603700</v>
      </c>
      <c r="B115" s="16" t="s">
        <v>676</v>
      </c>
      <c r="C115" s="16" t="s">
        <v>724</v>
      </c>
      <c r="D115" s="16" t="n">
        <v>1.57</v>
      </c>
      <c r="E115" s="16" t="n">
        <v>4160</v>
      </c>
      <c r="F115" s="16" t="n">
        <v>12133330</v>
      </c>
      <c r="G115" s="16" t="n">
        <v>2917</v>
      </c>
      <c r="H115" s="16" t="s">
        <v>68</v>
      </c>
    </row>
    <row r="116" customFormat="false" ht="15" hidden="false" customHeight="false" outlineLevel="0" collapsed="false">
      <c r="A116" s="15" t="n">
        <v>334603736</v>
      </c>
      <c r="B116" s="16" t="s">
        <v>676</v>
      </c>
      <c r="C116" s="16" t="s">
        <v>724</v>
      </c>
      <c r="D116" s="16" t="n">
        <v>1.57</v>
      </c>
      <c r="E116" s="16" t="n">
        <v>1553</v>
      </c>
      <c r="F116" s="16" t="n">
        <v>4529580</v>
      </c>
      <c r="G116" s="16" t="n">
        <v>2917</v>
      </c>
      <c r="H116" s="16" t="s">
        <v>68</v>
      </c>
    </row>
    <row r="117" customFormat="false" ht="15" hidden="false" customHeight="false" outlineLevel="0" collapsed="false">
      <c r="A117" s="15" t="n">
        <v>331159054</v>
      </c>
      <c r="B117" s="16" t="s">
        <v>690</v>
      </c>
      <c r="C117" s="16" t="s">
        <v>724</v>
      </c>
      <c r="D117" s="16" t="n">
        <v>1.57</v>
      </c>
      <c r="E117" s="16" t="n">
        <v>12637</v>
      </c>
      <c r="F117" s="16" t="n">
        <v>31592500</v>
      </c>
      <c r="G117" s="16" t="n">
        <v>2500</v>
      </c>
      <c r="H117" s="16" t="s">
        <v>68</v>
      </c>
    </row>
    <row r="118" customFormat="false" ht="15" hidden="false" customHeight="false" outlineLevel="0" collapsed="false">
      <c r="A118" s="15" t="n">
        <v>334604059</v>
      </c>
      <c r="B118" s="16" t="s">
        <v>676</v>
      </c>
      <c r="C118" s="16" t="s">
        <v>724</v>
      </c>
      <c r="D118" s="16" t="n">
        <v>1.57</v>
      </c>
      <c r="E118" s="16" t="n">
        <v>1494</v>
      </c>
      <c r="F118" s="16" t="n">
        <v>4332500</v>
      </c>
      <c r="G118" s="16" t="n">
        <v>2900</v>
      </c>
      <c r="H118" s="16" t="s">
        <v>68</v>
      </c>
    </row>
    <row r="119" customFormat="false" ht="15" hidden="false" customHeight="false" outlineLevel="0" collapsed="false">
      <c r="A119" s="15" t="n">
        <v>334604058</v>
      </c>
      <c r="B119" s="16" t="s">
        <v>676</v>
      </c>
      <c r="C119" s="16" t="s">
        <v>724</v>
      </c>
      <c r="D119" s="16" t="n">
        <v>1.57</v>
      </c>
      <c r="E119" s="16" t="n">
        <v>1757</v>
      </c>
      <c r="F119" s="16" t="n">
        <v>5124600</v>
      </c>
      <c r="G119" s="16" t="n">
        <v>2917</v>
      </c>
      <c r="H119" s="16" t="s">
        <v>68</v>
      </c>
    </row>
    <row r="120" customFormat="false" ht="15" hidden="false" customHeight="false" outlineLevel="0" collapsed="false">
      <c r="A120" s="15" t="n">
        <v>334604018</v>
      </c>
      <c r="B120" s="16" t="s">
        <v>676</v>
      </c>
      <c r="C120" s="16" t="s">
        <v>724</v>
      </c>
      <c r="D120" s="16" t="n">
        <v>1.57</v>
      </c>
      <c r="E120" s="16" t="n">
        <v>2607</v>
      </c>
      <c r="F120" s="16" t="n">
        <v>7603800</v>
      </c>
      <c r="G120" s="16" t="n">
        <v>2917</v>
      </c>
      <c r="H120" s="16" t="s">
        <v>68</v>
      </c>
    </row>
    <row r="121" customFormat="false" ht="15" hidden="false" customHeight="false" outlineLevel="0" collapsed="false">
      <c r="A121" s="15" t="n">
        <v>334604128</v>
      </c>
      <c r="B121" s="16" t="s">
        <v>676</v>
      </c>
      <c r="C121" s="16" t="s">
        <v>724</v>
      </c>
      <c r="D121" s="16" t="n">
        <v>1.57</v>
      </c>
      <c r="E121" s="16" t="n">
        <v>1357</v>
      </c>
      <c r="F121" s="16" t="n">
        <v>3957900</v>
      </c>
      <c r="G121" s="16" t="n">
        <v>2917</v>
      </c>
      <c r="H121" s="16" t="s">
        <v>68</v>
      </c>
    </row>
    <row r="122" customFormat="false" ht="15" hidden="false" customHeight="false" outlineLevel="0" collapsed="false">
      <c r="A122" s="15" t="n">
        <v>334603931</v>
      </c>
      <c r="B122" s="16" t="s">
        <v>676</v>
      </c>
      <c r="C122" s="16" t="s">
        <v>724</v>
      </c>
      <c r="D122" s="16" t="n">
        <v>1.57</v>
      </c>
      <c r="E122" s="16" t="n">
        <v>1553</v>
      </c>
      <c r="F122" s="16" t="n">
        <v>4529600</v>
      </c>
      <c r="G122" s="16" t="n">
        <v>2917</v>
      </c>
      <c r="H122" s="16" t="s">
        <v>68</v>
      </c>
    </row>
    <row r="123" customFormat="false" ht="15" hidden="false" customHeight="false" outlineLevel="0" collapsed="false">
      <c r="A123" s="15" t="n">
        <v>334604270</v>
      </c>
      <c r="B123" s="16" t="s">
        <v>676</v>
      </c>
      <c r="C123" s="16" t="s">
        <v>724</v>
      </c>
      <c r="D123" s="16" t="n">
        <v>1.57</v>
      </c>
      <c r="E123" s="16" t="n">
        <v>1250</v>
      </c>
      <c r="F123" s="16" t="n">
        <v>3645800</v>
      </c>
      <c r="G123" s="16" t="n">
        <v>2917</v>
      </c>
      <c r="H123" s="16" t="s">
        <v>68</v>
      </c>
    </row>
    <row r="124" customFormat="false" ht="15" hidden="false" customHeight="false" outlineLevel="0" collapsed="false">
      <c r="A124" s="15" t="n">
        <v>331195567</v>
      </c>
      <c r="B124" s="16" t="s">
        <v>676</v>
      </c>
      <c r="C124" s="16" t="s">
        <v>724</v>
      </c>
      <c r="D124" s="16" t="n">
        <v>1.57</v>
      </c>
      <c r="E124" s="16" t="n">
        <v>7452</v>
      </c>
      <c r="F124" s="16" t="n">
        <v>21735000</v>
      </c>
      <c r="G124" s="16" t="n">
        <v>2917</v>
      </c>
      <c r="H124" s="16" t="s">
        <v>63</v>
      </c>
    </row>
    <row r="125" customFormat="false" ht="15" hidden="false" customHeight="false" outlineLevel="0" collapsed="false">
      <c r="A125" s="15" t="n">
        <v>334604056</v>
      </c>
      <c r="B125" s="16" t="s">
        <v>676</v>
      </c>
      <c r="C125" s="16" t="s">
        <v>724</v>
      </c>
      <c r="D125" s="16" t="n">
        <v>1.57</v>
      </c>
      <c r="E125" s="16" t="n">
        <v>3016</v>
      </c>
      <c r="F125" s="16" t="n">
        <v>8796700</v>
      </c>
      <c r="G125" s="16" t="n">
        <v>2917</v>
      </c>
      <c r="H125" s="16" t="s">
        <v>68</v>
      </c>
    </row>
    <row r="126" customFormat="false" ht="15" hidden="false" customHeight="false" outlineLevel="0" collapsed="false">
      <c r="A126" s="15" t="n">
        <v>334993609</v>
      </c>
      <c r="B126" s="16" t="s">
        <v>676</v>
      </c>
      <c r="C126" s="16" t="s">
        <v>724</v>
      </c>
      <c r="D126" s="16" t="n">
        <v>1.57</v>
      </c>
      <c r="E126" s="16" t="n">
        <v>1462</v>
      </c>
      <c r="F126" s="16" t="n">
        <v>3655000</v>
      </c>
      <c r="G126" s="16" t="n">
        <v>2500</v>
      </c>
      <c r="H126" s="16" t="s">
        <v>63</v>
      </c>
    </row>
    <row r="127" customFormat="false" ht="15" hidden="false" customHeight="false" outlineLevel="0" collapsed="false">
      <c r="A127" s="15" t="n">
        <v>334995364</v>
      </c>
      <c r="B127" s="16" t="s">
        <v>676</v>
      </c>
      <c r="C127" s="16" t="s">
        <v>724</v>
      </c>
      <c r="D127" s="16" t="n">
        <v>1.57</v>
      </c>
      <c r="E127" s="16" t="n">
        <v>1460</v>
      </c>
      <c r="F127" s="16" t="n">
        <v>3650000</v>
      </c>
      <c r="G127" s="16" t="n">
        <v>2500</v>
      </c>
      <c r="H127" s="16" t="s">
        <v>63</v>
      </c>
    </row>
    <row r="128" customFormat="false" ht="15" hidden="false" customHeight="false" outlineLevel="0" collapsed="false">
      <c r="A128" s="15" t="n">
        <v>334995365</v>
      </c>
      <c r="B128" s="16" t="s">
        <v>676</v>
      </c>
      <c r="C128" s="16" t="s">
        <v>724</v>
      </c>
      <c r="D128" s="16" t="n">
        <v>1.57</v>
      </c>
      <c r="E128" s="16" t="n">
        <v>1540</v>
      </c>
      <c r="F128" s="16" t="n">
        <v>3850000</v>
      </c>
      <c r="G128" s="16" t="n">
        <v>2500</v>
      </c>
      <c r="H128" s="16" t="s">
        <v>63</v>
      </c>
    </row>
    <row r="129" customFormat="false" ht="15" hidden="false" customHeight="false" outlineLevel="0" collapsed="false">
      <c r="A129" s="15" t="n">
        <v>334993608</v>
      </c>
      <c r="B129" s="16" t="s">
        <v>676</v>
      </c>
      <c r="C129" s="16" t="s">
        <v>724</v>
      </c>
      <c r="D129" s="16" t="n">
        <v>1.57</v>
      </c>
      <c r="E129" s="16" t="n">
        <v>658</v>
      </c>
      <c r="F129" s="16" t="n">
        <v>1645000</v>
      </c>
      <c r="G129" s="16" t="n">
        <v>2500</v>
      </c>
      <c r="H129" s="16" t="s">
        <v>63</v>
      </c>
    </row>
    <row r="130" customFormat="false" ht="15" hidden="false" customHeight="false" outlineLevel="0" collapsed="false">
      <c r="A130" s="15" t="n">
        <v>334995363</v>
      </c>
      <c r="B130" s="16" t="s">
        <v>676</v>
      </c>
      <c r="C130" s="16" t="s">
        <v>724</v>
      </c>
      <c r="D130" s="16" t="n">
        <v>1.57</v>
      </c>
      <c r="E130" s="16" t="n">
        <v>1420</v>
      </c>
      <c r="F130" s="16" t="n">
        <v>3550000</v>
      </c>
      <c r="G130" s="16" t="n">
        <v>2500</v>
      </c>
      <c r="H130" s="16" t="s">
        <v>63</v>
      </c>
    </row>
    <row r="131" customFormat="false" ht="15" hidden="false" customHeight="false" outlineLevel="0" collapsed="false">
      <c r="A131" s="15" t="n">
        <v>335001693</v>
      </c>
      <c r="B131" s="16" t="s">
        <v>676</v>
      </c>
      <c r="C131" s="16" t="s">
        <v>724</v>
      </c>
      <c r="D131" s="16" t="n">
        <v>1.57</v>
      </c>
      <c r="E131" s="16" t="n">
        <v>1337</v>
      </c>
      <c r="F131" s="16" t="n">
        <v>3342500</v>
      </c>
      <c r="G131" s="16" t="n">
        <v>2500</v>
      </c>
      <c r="H131" s="16" t="s">
        <v>63</v>
      </c>
    </row>
    <row r="132" customFormat="false" ht="15" hidden="false" customHeight="false" outlineLevel="0" collapsed="false">
      <c r="A132" s="15" t="n">
        <v>335001696</v>
      </c>
      <c r="B132" s="16" t="s">
        <v>676</v>
      </c>
      <c r="C132" s="16" t="s">
        <v>724</v>
      </c>
      <c r="D132" s="16" t="n">
        <v>1.57</v>
      </c>
      <c r="E132" s="16" t="n">
        <v>1600</v>
      </c>
      <c r="F132" s="16" t="n">
        <v>4000000</v>
      </c>
      <c r="G132" s="16" t="n">
        <v>2500</v>
      </c>
      <c r="H132" s="16" t="s">
        <v>63</v>
      </c>
    </row>
    <row r="133" customFormat="false" ht="15" hidden="false" customHeight="false" outlineLevel="0" collapsed="false">
      <c r="A133" s="15" t="n">
        <v>335027076</v>
      </c>
      <c r="B133" s="16" t="s">
        <v>690</v>
      </c>
      <c r="C133" s="16" t="s">
        <v>725</v>
      </c>
      <c r="D133" s="16" t="n">
        <v>1.58</v>
      </c>
      <c r="E133" s="16" t="n">
        <v>692</v>
      </c>
      <c r="F133" s="16" t="n">
        <v>1500000</v>
      </c>
      <c r="G133" s="16" t="n">
        <v>2168</v>
      </c>
      <c r="H133" s="16" t="s">
        <v>63</v>
      </c>
    </row>
    <row r="134" customFormat="false" ht="15" hidden="false" customHeight="false" outlineLevel="0" collapsed="false">
      <c r="A134" s="15" t="n">
        <v>334910837</v>
      </c>
      <c r="B134" s="16" t="s">
        <v>676</v>
      </c>
      <c r="C134" s="16" t="s">
        <v>88</v>
      </c>
      <c r="D134" s="16" t="n">
        <v>1.58</v>
      </c>
      <c r="E134" s="16" t="n">
        <v>903</v>
      </c>
      <c r="F134" s="16" t="n">
        <v>2440100</v>
      </c>
      <c r="G134" s="16" t="n">
        <v>2702</v>
      </c>
      <c r="H134" s="16" t="s">
        <v>63</v>
      </c>
    </row>
    <row r="135" customFormat="false" ht="15" hidden="false" customHeight="false" outlineLevel="0" collapsed="false">
      <c r="A135" s="15" t="n">
        <v>335000749</v>
      </c>
      <c r="B135" s="16" t="s">
        <v>676</v>
      </c>
      <c r="C135" s="16" t="s">
        <v>725</v>
      </c>
      <c r="D135" s="16" t="n">
        <v>1.58</v>
      </c>
      <c r="E135" s="16" t="n">
        <v>692</v>
      </c>
      <c r="F135" s="16" t="n">
        <v>1500000</v>
      </c>
      <c r="G135" s="16" t="n">
        <v>2168</v>
      </c>
      <c r="H135" s="16" t="s">
        <v>68</v>
      </c>
    </row>
    <row r="136" customFormat="false" ht="22.35" hidden="false" customHeight="false" outlineLevel="0" collapsed="false">
      <c r="A136" s="15" t="n">
        <v>334955553</v>
      </c>
      <c r="B136" s="16" t="s">
        <v>678</v>
      </c>
      <c r="C136" s="16" t="s">
        <v>726</v>
      </c>
      <c r="D136" s="16" t="n">
        <v>1.6</v>
      </c>
      <c r="E136" s="16" t="n">
        <v>177</v>
      </c>
      <c r="F136" s="16" t="n">
        <v>350000</v>
      </c>
      <c r="G136" s="16" t="n">
        <v>1977</v>
      </c>
      <c r="H136" s="16" t="s">
        <v>68</v>
      </c>
    </row>
    <row r="137" customFormat="false" ht="15" hidden="false" customHeight="false" outlineLevel="0" collapsed="false">
      <c r="A137" s="15" t="n">
        <v>334116083</v>
      </c>
      <c r="B137" s="16" t="s">
        <v>676</v>
      </c>
      <c r="C137" s="16" t="s">
        <v>727</v>
      </c>
      <c r="D137" s="16" t="n">
        <v>1.6</v>
      </c>
      <c r="E137" s="16" t="n">
        <v>339</v>
      </c>
      <c r="F137" s="16" t="n">
        <v>784643</v>
      </c>
      <c r="G137" s="16" t="n">
        <v>2315</v>
      </c>
      <c r="H137" s="16" t="s">
        <v>63</v>
      </c>
    </row>
    <row r="138" customFormat="false" ht="15" hidden="false" customHeight="false" outlineLevel="0" collapsed="false">
      <c r="A138" s="15" t="n">
        <v>331121917</v>
      </c>
      <c r="B138" s="16" t="s">
        <v>676</v>
      </c>
      <c r="C138" s="16" t="s">
        <v>728</v>
      </c>
      <c r="D138" s="16" t="n">
        <v>1.62</v>
      </c>
      <c r="E138" s="16" t="n">
        <v>255</v>
      </c>
      <c r="F138" s="16" t="n">
        <v>395250</v>
      </c>
      <c r="G138" s="16" t="n">
        <v>1550</v>
      </c>
      <c r="H138" s="16" t="s">
        <v>63</v>
      </c>
    </row>
    <row r="139" customFormat="false" ht="22.35" hidden="false" customHeight="false" outlineLevel="0" collapsed="false">
      <c r="A139" s="15" t="n">
        <v>332392285</v>
      </c>
      <c r="B139" s="16" t="s">
        <v>678</v>
      </c>
      <c r="C139" s="16" t="s">
        <v>729</v>
      </c>
      <c r="D139" s="16" t="n">
        <v>1.64</v>
      </c>
      <c r="E139" s="16" t="n">
        <v>320</v>
      </c>
      <c r="F139" s="16" t="n">
        <v>500000</v>
      </c>
      <c r="G139" s="16" t="n">
        <v>1562</v>
      </c>
      <c r="H139" s="16" t="s">
        <v>68</v>
      </c>
    </row>
    <row r="140" customFormat="false" ht="22.35" hidden="false" customHeight="false" outlineLevel="0" collapsed="false">
      <c r="A140" s="15" t="n">
        <v>333810561</v>
      </c>
      <c r="B140" s="16" t="s">
        <v>678</v>
      </c>
      <c r="C140" s="16" t="s">
        <v>729</v>
      </c>
      <c r="D140" s="16" t="n">
        <v>1.64</v>
      </c>
      <c r="E140" s="16" t="n">
        <v>633</v>
      </c>
      <c r="F140" s="16" t="n">
        <v>800000</v>
      </c>
      <c r="G140" s="16" t="n">
        <v>1264</v>
      </c>
      <c r="H140" s="16" t="s">
        <v>68</v>
      </c>
    </row>
    <row r="141" customFormat="false" ht="15" hidden="false" customHeight="false" outlineLevel="0" collapsed="false">
      <c r="A141" s="15" t="n">
        <v>329007128</v>
      </c>
      <c r="B141" s="16" t="s">
        <v>676</v>
      </c>
      <c r="C141" s="16" t="s">
        <v>730</v>
      </c>
      <c r="D141" s="16" t="n">
        <v>1.65</v>
      </c>
      <c r="E141" s="16" t="n">
        <v>240</v>
      </c>
      <c r="F141" s="16" t="n">
        <v>650000</v>
      </c>
      <c r="G141" s="16" t="n">
        <v>2708</v>
      </c>
      <c r="H141" s="16" t="s">
        <v>68</v>
      </c>
    </row>
    <row r="142" customFormat="false" ht="15" hidden="false" customHeight="false" outlineLevel="0" collapsed="false">
      <c r="A142" s="15" t="n">
        <v>331933835</v>
      </c>
      <c r="B142" s="16" t="s">
        <v>676</v>
      </c>
      <c r="C142" s="16" t="s">
        <v>730</v>
      </c>
      <c r="D142" s="16" t="n">
        <v>1.65</v>
      </c>
      <c r="E142" s="16" t="n">
        <v>240</v>
      </c>
      <c r="F142" s="16" t="n">
        <v>665000</v>
      </c>
      <c r="G142" s="16" t="n">
        <v>2771</v>
      </c>
      <c r="H142" s="16" t="s">
        <v>68</v>
      </c>
    </row>
    <row r="143" customFormat="false" ht="15" hidden="false" customHeight="false" outlineLevel="0" collapsed="false">
      <c r="A143" s="15" t="n">
        <v>331332922</v>
      </c>
      <c r="B143" s="16" t="s">
        <v>676</v>
      </c>
      <c r="C143" s="16" t="s">
        <v>730</v>
      </c>
      <c r="D143" s="16" t="n">
        <v>1.65</v>
      </c>
      <c r="E143" s="16" t="n">
        <v>240</v>
      </c>
      <c r="F143" s="16" t="n">
        <v>650000</v>
      </c>
      <c r="G143" s="16" t="n">
        <v>2708</v>
      </c>
      <c r="H143" s="16" t="s">
        <v>63</v>
      </c>
    </row>
    <row r="144" customFormat="false" ht="22.35" hidden="false" customHeight="false" outlineLevel="0" collapsed="false">
      <c r="A144" s="15" t="n">
        <v>328850016</v>
      </c>
      <c r="B144" s="16" t="s">
        <v>678</v>
      </c>
      <c r="C144" s="16" t="s">
        <v>731</v>
      </c>
      <c r="D144" s="16" t="n">
        <v>1.71</v>
      </c>
      <c r="E144" s="16" t="n">
        <v>112.6</v>
      </c>
      <c r="F144" s="16" t="n">
        <v>281500</v>
      </c>
      <c r="G144" s="16" t="n">
        <v>2500</v>
      </c>
      <c r="H144" s="16" t="s">
        <v>63</v>
      </c>
    </row>
    <row r="145" customFormat="false" ht="22.35" hidden="false" customHeight="false" outlineLevel="0" collapsed="false">
      <c r="A145" s="15" t="n">
        <v>155403939</v>
      </c>
      <c r="B145" s="16" t="s">
        <v>678</v>
      </c>
      <c r="C145" s="16" t="s">
        <v>732</v>
      </c>
      <c r="D145" s="16" t="n">
        <v>1.75</v>
      </c>
      <c r="E145" s="16" t="n">
        <v>150</v>
      </c>
      <c r="F145" s="16" t="n">
        <v>170000</v>
      </c>
      <c r="G145" s="16" t="n">
        <v>1133</v>
      </c>
      <c r="H145" s="16" t="s">
        <v>68</v>
      </c>
    </row>
    <row r="146" customFormat="false" ht="15" hidden="false" customHeight="false" outlineLevel="0" collapsed="false">
      <c r="A146" s="15" t="n">
        <v>327230871</v>
      </c>
      <c r="B146" s="16" t="s">
        <v>676</v>
      </c>
      <c r="C146" s="16" t="s">
        <v>733</v>
      </c>
      <c r="D146" s="16" t="n">
        <v>1.76</v>
      </c>
      <c r="E146" s="16" t="n">
        <v>156</v>
      </c>
      <c r="F146" s="16" t="n">
        <v>443596</v>
      </c>
      <c r="G146" s="16" t="n">
        <v>2844</v>
      </c>
      <c r="H146" s="16" t="s">
        <v>63</v>
      </c>
    </row>
    <row r="147" customFormat="false" ht="22.35" hidden="false" customHeight="false" outlineLevel="0" collapsed="false">
      <c r="A147" s="15" t="n">
        <v>334518390</v>
      </c>
      <c r="B147" s="16" t="s">
        <v>678</v>
      </c>
      <c r="C147" s="16" t="s">
        <v>734</v>
      </c>
      <c r="D147" s="16" t="n">
        <v>1.76</v>
      </c>
      <c r="E147" s="16" t="n">
        <v>326</v>
      </c>
      <c r="F147" s="16" t="n">
        <v>550000</v>
      </c>
      <c r="G147" s="16" t="n">
        <v>1687</v>
      </c>
      <c r="H147" s="16" t="s">
        <v>63</v>
      </c>
    </row>
    <row r="148" customFormat="false" ht="15" hidden="false" customHeight="false" outlineLevel="0" collapsed="false">
      <c r="A148" s="15" t="n">
        <v>334201070</v>
      </c>
      <c r="B148" s="16" t="s">
        <v>676</v>
      </c>
      <c r="C148" s="16" t="s">
        <v>735</v>
      </c>
      <c r="D148" s="16" t="n">
        <v>1.77</v>
      </c>
      <c r="E148" s="16" t="n">
        <v>250</v>
      </c>
      <c r="F148" s="16" t="n">
        <v>483333</v>
      </c>
      <c r="G148" s="16" t="n">
        <v>1933</v>
      </c>
      <c r="H148" s="16" t="s">
        <v>63</v>
      </c>
    </row>
    <row r="149" customFormat="false" ht="15" hidden="false" customHeight="false" outlineLevel="0" collapsed="false">
      <c r="A149" s="15" t="n">
        <v>164963756</v>
      </c>
      <c r="B149" s="16" t="s">
        <v>676</v>
      </c>
      <c r="C149" s="16" t="s">
        <v>735</v>
      </c>
      <c r="D149" s="16" t="n">
        <v>1.77</v>
      </c>
      <c r="E149" s="16" t="n">
        <v>116</v>
      </c>
      <c r="F149" s="16" t="n">
        <v>223000</v>
      </c>
      <c r="G149" s="16" t="n">
        <v>1922</v>
      </c>
      <c r="H149" s="16" t="s">
        <v>63</v>
      </c>
    </row>
    <row r="150" customFormat="false" ht="22.35" hidden="false" customHeight="false" outlineLevel="0" collapsed="false">
      <c r="A150" s="15" t="n">
        <v>334884858</v>
      </c>
      <c r="B150" s="16" t="s">
        <v>678</v>
      </c>
      <c r="C150" s="16" t="s">
        <v>736</v>
      </c>
      <c r="D150" s="16" t="n">
        <v>1.78</v>
      </c>
      <c r="E150" s="16" t="n">
        <v>130</v>
      </c>
      <c r="F150" s="16" t="n">
        <v>280000</v>
      </c>
      <c r="G150" s="16" t="n">
        <v>2154</v>
      </c>
      <c r="H150" s="16" t="s">
        <v>68</v>
      </c>
    </row>
    <row r="151" customFormat="false" ht="22.35" hidden="false" customHeight="false" outlineLevel="0" collapsed="false">
      <c r="A151" s="15" t="n">
        <v>334976510</v>
      </c>
      <c r="B151" s="16" t="s">
        <v>678</v>
      </c>
      <c r="C151" s="16" t="s">
        <v>737</v>
      </c>
      <c r="D151" s="16" t="n">
        <v>1.79</v>
      </c>
      <c r="E151" s="16" t="n">
        <v>140.2</v>
      </c>
      <c r="F151" s="16" t="n">
        <v>673000</v>
      </c>
      <c r="G151" s="16" t="n">
        <v>4800</v>
      </c>
      <c r="H151" s="16" t="s">
        <v>68</v>
      </c>
    </row>
    <row r="152" customFormat="false" ht="22.35" hidden="false" customHeight="false" outlineLevel="0" collapsed="false">
      <c r="A152" s="15" t="n">
        <v>334976165</v>
      </c>
      <c r="B152" s="16" t="s">
        <v>678</v>
      </c>
      <c r="C152" s="16" t="s">
        <v>737</v>
      </c>
      <c r="D152" s="16" t="n">
        <v>1.79</v>
      </c>
      <c r="E152" s="16" t="n">
        <v>143</v>
      </c>
      <c r="F152" s="16" t="n">
        <v>686400</v>
      </c>
      <c r="G152" s="16" t="n">
        <v>4800</v>
      </c>
      <c r="H152" s="16" t="s">
        <v>68</v>
      </c>
    </row>
    <row r="153" customFormat="false" ht="22.35" hidden="false" customHeight="false" outlineLevel="0" collapsed="false">
      <c r="A153" s="15" t="n">
        <v>334975359</v>
      </c>
      <c r="B153" s="16" t="s">
        <v>678</v>
      </c>
      <c r="C153" s="16" t="s">
        <v>737</v>
      </c>
      <c r="D153" s="16" t="n">
        <v>1.79</v>
      </c>
      <c r="E153" s="16" t="n">
        <v>499.5</v>
      </c>
      <c r="F153" s="16" t="n">
        <v>2200000</v>
      </c>
      <c r="G153" s="16" t="n">
        <v>4404</v>
      </c>
      <c r="H153" s="16" t="s">
        <v>68</v>
      </c>
    </row>
    <row r="154" customFormat="false" ht="22.35" hidden="false" customHeight="false" outlineLevel="0" collapsed="false">
      <c r="A154" s="15" t="n">
        <v>334975825</v>
      </c>
      <c r="B154" s="16" t="s">
        <v>678</v>
      </c>
      <c r="C154" s="16" t="s">
        <v>737</v>
      </c>
      <c r="D154" s="16" t="n">
        <v>1.79</v>
      </c>
      <c r="E154" s="16" t="n">
        <v>283.2</v>
      </c>
      <c r="F154" s="16" t="n">
        <v>1200000</v>
      </c>
      <c r="G154" s="16" t="n">
        <v>4237</v>
      </c>
      <c r="H154" s="16" t="s">
        <v>68</v>
      </c>
    </row>
    <row r="155" customFormat="false" ht="15" hidden="false" customHeight="false" outlineLevel="0" collapsed="false">
      <c r="A155" s="15" t="n">
        <v>334557110</v>
      </c>
      <c r="B155" s="16" t="s">
        <v>680</v>
      </c>
      <c r="C155" s="16" t="s">
        <v>738</v>
      </c>
      <c r="D155" s="16" t="n">
        <v>1.85</v>
      </c>
      <c r="E155" s="16" t="n">
        <v>280</v>
      </c>
      <c r="F155" s="16" t="n">
        <v>400000</v>
      </c>
      <c r="G155" s="16" t="n">
        <v>1429</v>
      </c>
      <c r="H155" s="16" t="s">
        <v>63</v>
      </c>
    </row>
    <row r="156" customFormat="false" ht="15" hidden="false" customHeight="false" outlineLevel="0" collapsed="false">
      <c r="A156" s="15" t="n">
        <v>332604564</v>
      </c>
      <c r="B156" s="16" t="s">
        <v>674</v>
      </c>
      <c r="C156" s="16" t="s">
        <v>739</v>
      </c>
      <c r="D156" s="16" t="n">
        <v>1.88</v>
      </c>
      <c r="E156" s="16" t="n">
        <v>287.5</v>
      </c>
      <c r="F156" s="16" t="n">
        <v>1000000</v>
      </c>
      <c r="G156" s="16" t="n">
        <v>3478</v>
      </c>
      <c r="H156" s="16" t="s">
        <v>63</v>
      </c>
    </row>
    <row r="157" customFormat="false" ht="22.35" hidden="false" customHeight="false" outlineLevel="0" collapsed="false">
      <c r="A157" s="15" t="n">
        <v>316189963</v>
      </c>
      <c r="B157" s="16" t="s">
        <v>678</v>
      </c>
      <c r="C157" s="16" t="s">
        <v>740</v>
      </c>
      <c r="D157" s="16" t="n">
        <v>1.92</v>
      </c>
      <c r="E157" s="16" t="n">
        <v>210.5</v>
      </c>
      <c r="F157" s="16" t="n">
        <v>950000</v>
      </c>
      <c r="G157" s="16" t="n">
        <v>4513</v>
      </c>
      <c r="H157" s="16" t="s">
        <v>68</v>
      </c>
    </row>
    <row r="158" customFormat="false" ht="22.35" hidden="false" customHeight="false" outlineLevel="0" collapsed="false">
      <c r="A158" s="15" t="n">
        <v>332579128</v>
      </c>
      <c r="B158" s="16" t="s">
        <v>678</v>
      </c>
      <c r="C158" s="16" t="s">
        <v>740</v>
      </c>
      <c r="D158" s="16" t="n">
        <v>1.92</v>
      </c>
      <c r="E158" s="16" t="n">
        <v>210.5</v>
      </c>
      <c r="F158" s="16" t="n">
        <v>950000</v>
      </c>
      <c r="G158" s="16" t="n">
        <v>4513</v>
      </c>
      <c r="H158" s="16" t="s">
        <v>68</v>
      </c>
    </row>
    <row r="159" customFormat="false" ht="22.35" hidden="false" customHeight="false" outlineLevel="0" collapsed="false">
      <c r="A159" s="15" t="n">
        <v>334088701</v>
      </c>
      <c r="B159" s="16" t="s">
        <v>678</v>
      </c>
      <c r="C159" s="16" t="s">
        <v>740</v>
      </c>
      <c r="D159" s="16" t="n">
        <v>1.92</v>
      </c>
      <c r="E159" s="16" t="n">
        <v>210.5</v>
      </c>
      <c r="F159" s="16" t="n">
        <v>950000</v>
      </c>
      <c r="G159" s="16" t="n">
        <v>4513</v>
      </c>
      <c r="H159" s="16" t="s">
        <v>68</v>
      </c>
    </row>
    <row r="160" customFormat="false" ht="22.35" hidden="false" customHeight="false" outlineLevel="0" collapsed="false">
      <c r="A160" s="15" t="n">
        <v>333049729</v>
      </c>
      <c r="B160" s="16" t="s">
        <v>678</v>
      </c>
      <c r="C160" s="16" t="s">
        <v>740</v>
      </c>
      <c r="D160" s="16" t="n">
        <v>1.92</v>
      </c>
      <c r="E160" s="16" t="n">
        <v>210.5</v>
      </c>
      <c r="F160" s="16" t="n">
        <v>950000</v>
      </c>
      <c r="G160" s="16" t="n">
        <v>4513</v>
      </c>
      <c r="H160" s="16" t="s">
        <v>68</v>
      </c>
    </row>
    <row r="161" customFormat="false" ht="15" hidden="false" customHeight="false" outlineLevel="0" collapsed="false">
      <c r="A161" s="15" t="n">
        <v>334018571</v>
      </c>
      <c r="B161" s="16" t="s">
        <v>676</v>
      </c>
      <c r="C161" s="16" t="s">
        <v>741</v>
      </c>
      <c r="D161" s="16" t="n">
        <v>1.95</v>
      </c>
      <c r="E161" s="16" t="n">
        <v>1205</v>
      </c>
      <c r="F161" s="16" t="n">
        <v>3916250</v>
      </c>
      <c r="G161" s="16" t="n">
        <v>3250</v>
      </c>
      <c r="H161" s="16" t="s">
        <v>63</v>
      </c>
    </row>
    <row r="162" customFormat="false" ht="15" hidden="false" customHeight="false" outlineLevel="0" collapsed="false">
      <c r="A162" s="15" t="n">
        <v>330434825</v>
      </c>
      <c r="B162" s="16" t="s">
        <v>676</v>
      </c>
      <c r="C162" s="16" t="s">
        <v>741</v>
      </c>
      <c r="D162" s="16" t="n">
        <v>1.95</v>
      </c>
      <c r="E162" s="16" t="n">
        <v>2258</v>
      </c>
      <c r="F162" s="16" t="n">
        <v>7269631</v>
      </c>
      <c r="G162" s="16" t="n">
        <v>3220</v>
      </c>
      <c r="H162" s="16" t="s">
        <v>63</v>
      </c>
    </row>
    <row r="163" customFormat="false" ht="15" hidden="false" customHeight="false" outlineLevel="0" collapsed="false">
      <c r="A163" s="15" t="n">
        <v>331761096</v>
      </c>
      <c r="B163" s="16" t="s">
        <v>676</v>
      </c>
      <c r="C163" s="16" t="s">
        <v>741</v>
      </c>
      <c r="D163" s="16" t="n">
        <v>1.95</v>
      </c>
      <c r="E163" s="16" t="n">
        <v>9991</v>
      </c>
      <c r="F163" s="16" t="n">
        <v>22479750</v>
      </c>
      <c r="G163" s="16" t="n">
        <v>2250</v>
      </c>
      <c r="H163" s="16" t="s">
        <v>63</v>
      </c>
    </row>
    <row r="164" customFormat="false" ht="15" hidden="false" customHeight="false" outlineLevel="0" collapsed="false">
      <c r="A164" s="15" t="n">
        <v>334603750</v>
      </c>
      <c r="B164" s="16" t="s">
        <v>676</v>
      </c>
      <c r="C164" s="16" t="s">
        <v>741</v>
      </c>
      <c r="D164" s="16" t="n">
        <v>1.95</v>
      </c>
      <c r="E164" s="16" t="n">
        <v>2526</v>
      </c>
      <c r="F164" s="16" t="n">
        <v>8209500</v>
      </c>
      <c r="G164" s="16" t="n">
        <v>3250</v>
      </c>
      <c r="H164" s="16" t="s">
        <v>63</v>
      </c>
    </row>
    <row r="165" customFormat="false" ht="15" hidden="false" customHeight="false" outlineLevel="0" collapsed="false">
      <c r="A165" s="15" t="n">
        <v>334603752</v>
      </c>
      <c r="B165" s="16" t="s">
        <v>676</v>
      </c>
      <c r="C165" s="16" t="s">
        <v>741</v>
      </c>
      <c r="D165" s="16" t="n">
        <v>1.95</v>
      </c>
      <c r="E165" s="16" t="n">
        <v>7431</v>
      </c>
      <c r="F165" s="16" t="n">
        <v>24150750</v>
      </c>
      <c r="G165" s="16" t="n">
        <v>3250</v>
      </c>
      <c r="H165" s="16" t="s">
        <v>63</v>
      </c>
    </row>
    <row r="166" customFormat="false" ht="15" hidden="false" customHeight="false" outlineLevel="0" collapsed="false">
      <c r="A166" s="15" t="n">
        <v>334604152</v>
      </c>
      <c r="B166" s="16" t="s">
        <v>676</v>
      </c>
      <c r="C166" s="16" t="s">
        <v>741</v>
      </c>
      <c r="D166" s="16" t="n">
        <v>1.95</v>
      </c>
      <c r="E166" s="16" t="n">
        <v>1517</v>
      </c>
      <c r="F166" s="16" t="n">
        <v>4930300</v>
      </c>
      <c r="G166" s="16" t="n">
        <v>3250</v>
      </c>
      <c r="H166" s="16" t="s">
        <v>63</v>
      </c>
    </row>
    <row r="167" customFormat="false" ht="15" hidden="false" customHeight="false" outlineLevel="0" collapsed="false">
      <c r="A167" s="15" t="n">
        <v>334604225</v>
      </c>
      <c r="B167" s="16" t="s">
        <v>676</v>
      </c>
      <c r="C167" s="16" t="s">
        <v>741</v>
      </c>
      <c r="D167" s="16" t="n">
        <v>1.95</v>
      </c>
      <c r="E167" s="16" t="n">
        <v>1320</v>
      </c>
      <c r="F167" s="16" t="n">
        <v>4290000</v>
      </c>
      <c r="G167" s="16" t="n">
        <v>3250</v>
      </c>
      <c r="H167" s="16" t="s">
        <v>63</v>
      </c>
    </row>
    <row r="168" customFormat="false" ht="15" hidden="false" customHeight="false" outlineLevel="0" collapsed="false">
      <c r="A168" s="15" t="n">
        <v>334257727</v>
      </c>
      <c r="B168" s="16" t="s">
        <v>676</v>
      </c>
      <c r="C168" s="16" t="s">
        <v>741</v>
      </c>
      <c r="D168" s="16" t="n">
        <v>1.95</v>
      </c>
      <c r="E168" s="16" t="n">
        <v>6418</v>
      </c>
      <c r="F168" s="16" t="n">
        <v>14440500</v>
      </c>
      <c r="G168" s="16" t="n">
        <v>2250</v>
      </c>
      <c r="H168" s="16" t="s">
        <v>63</v>
      </c>
    </row>
    <row r="169" customFormat="false" ht="15" hidden="false" customHeight="false" outlineLevel="0" collapsed="false">
      <c r="A169" s="15" t="n">
        <v>331363724</v>
      </c>
      <c r="B169" s="16" t="s">
        <v>676</v>
      </c>
      <c r="C169" s="16" t="s">
        <v>741</v>
      </c>
      <c r="D169" s="16" t="n">
        <v>1.95</v>
      </c>
      <c r="E169" s="16" t="n">
        <v>1320</v>
      </c>
      <c r="F169" s="16" t="n">
        <v>4249740</v>
      </c>
      <c r="G169" s="16" t="n">
        <v>3220</v>
      </c>
      <c r="H169" s="16" t="s">
        <v>63</v>
      </c>
    </row>
    <row r="170" customFormat="false" ht="15" hidden="false" customHeight="false" outlineLevel="0" collapsed="false">
      <c r="A170" s="15" t="n">
        <v>334604027</v>
      </c>
      <c r="B170" s="16" t="s">
        <v>676</v>
      </c>
      <c r="C170" s="16" t="s">
        <v>741</v>
      </c>
      <c r="D170" s="16" t="n">
        <v>1.95</v>
      </c>
      <c r="E170" s="16" t="n">
        <v>1206</v>
      </c>
      <c r="F170" s="16" t="n">
        <v>3919500</v>
      </c>
      <c r="G170" s="16" t="n">
        <v>3250</v>
      </c>
      <c r="H170" s="16" t="s">
        <v>63</v>
      </c>
    </row>
    <row r="171" customFormat="false" ht="15" hidden="false" customHeight="false" outlineLevel="0" collapsed="false">
      <c r="A171" s="15" t="n">
        <v>334604124</v>
      </c>
      <c r="B171" s="16" t="s">
        <v>676</v>
      </c>
      <c r="C171" s="16" t="s">
        <v>741</v>
      </c>
      <c r="D171" s="16" t="n">
        <v>1.95</v>
      </c>
      <c r="E171" s="16" t="n">
        <v>1792</v>
      </c>
      <c r="F171" s="16" t="n">
        <v>5824000</v>
      </c>
      <c r="G171" s="16" t="n">
        <v>3250</v>
      </c>
      <c r="H171" s="16" t="s">
        <v>63</v>
      </c>
    </row>
    <row r="172" customFormat="false" ht="15" hidden="false" customHeight="false" outlineLevel="0" collapsed="false">
      <c r="A172" s="15" t="n">
        <v>334604020</v>
      </c>
      <c r="B172" s="16" t="s">
        <v>676</v>
      </c>
      <c r="C172" s="16" t="s">
        <v>741</v>
      </c>
      <c r="D172" s="16" t="n">
        <v>1.95</v>
      </c>
      <c r="E172" s="16" t="n">
        <v>2526</v>
      </c>
      <c r="F172" s="16" t="n">
        <v>8209500</v>
      </c>
      <c r="G172" s="16" t="n">
        <v>3250</v>
      </c>
      <c r="H172" s="16" t="s">
        <v>63</v>
      </c>
    </row>
    <row r="173" customFormat="false" ht="15" hidden="false" customHeight="false" outlineLevel="0" collapsed="false">
      <c r="A173" s="15" t="n">
        <v>334389005</v>
      </c>
      <c r="B173" s="16" t="s">
        <v>676</v>
      </c>
      <c r="C173" s="16" t="s">
        <v>741</v>
      </c>
      <c r="D173" s="16" t="n">
        <v>1.95</v>
      </c>
      <c r="E173" s="16" t="n">
        <v>967.6</v>
      </c>
      <c r="F173" s="16" t="n">
        <v>2177100</v>
      </c>
      <c r="G173" s="16" t="n">
        <v>2250</v>
      </c>
      <c r="H173" s="16" t="s">
        <v>63</v>
      </c>
    </row>
    <row r="174" customFormat="false" ht="15" hidden="false" customHeight="false" outlineLevel="0" collapsed="false">
      <c r="A174" s="15" t="n">
        <v>334383187</v>
      </c>
      <c r="B174" s="16" t="s">
        <v>676</v>
      </c>
      <c r="C174" s="16" t="s">
        <v>741</v>
      </c>
      <c r="D174" s="16" t="n">
        <v>1.95</v>
      </c>
      <c r="E174" s="16" t="n">
        <v>1205.59</v>
      </c>
      <c r="F174" s="16" t="n">
        <v>3918168</v>
      </c>
      <c r="G174" s="16" t="n">
        <v>3250</v>
      </c>
      <c r="H174" s="16" t="s">
        <v>63</v>
      </c>
    </row>
    <row r="175" customFormat="false" ht="15" hidden="false" customHeight="false" outlineLevel="0" collapsed="false">
      <c r="A175" s="15" t="n">
        <v>332687000</v>
      </c>
      <c r="B175" s="16" t="s">
        <v>676</v>
      </c>
      <c r="C175" s="16" t="s">
        <v>741</v>
      </c>
      <c r="D175" s="16" t="n">
        <v>1.95</v>
      </c>
      <c r="E175" s="16" t="n">
        <v>1785</v>
      </c>
      <c r="F175" s="16" t="n">
        <v>4016250</v>
      </c>
      <c r="G175" s="16" t="n">
        <v>2250</v>
      </c>
      <c r="H175" s="16" t="s">
        <v>63</v>
      </c>
    </row>
    <row r="176" customFormat="false" ht="15" hidden="false" customHeight="false" outlineLevel="0" collapsed="false">
      <c r="A176" s="15" t="n">
        <v>332686992</v>
      </c>
      <c r="B176" s="16" t="s">
        <v>676</v>
      </c>
      <c r="C176" s="16" t="s">
        <v>741</v>
      </c>
      <c r="D176" s="16" t="n">
        <v>1.95</v>
      </c>
      <c r="E176" s="16" t="n">
        <v>1943</v>
      </c>
      <c r="F176" s="16" t="n">
        <v>4371750</v>
      </c>
      <c r="G176" s="16" t="n">
        <v>2250</v>
      </c>
      <c r="H176" s="16" t="s">
        <v>63</v>
      </c>
    </row>
    <row r="177" customFormat="false" ht="15" hidden="false" customHeight="false" outlineLevel="0" collapsed="false">
      <c r="A177" s="15" t="n">
        <v>332686981</v>
      </c>
      <c r="B177" s="16" t="s">
        <v>676</v>
      </c>
      <c r="C177" s="16" t="s">
        <v>741</v>
      </c>
      <c r="D177" s="16" t="n">
        <v>1.95</v>
      </c>
      <c r="E177" s="16" t="n">
        <v>2265</v>
      </c>
      <c r="F177" s="16" t="n">
        <v>5096250</v>
      </c>
      <c r="G177" s="16" t="n">
        <v>2250</v>
      </c>
      <c r="H177" s="16" t="s">
        <v>63</v>
      </c>
    </row>
    <row r="178" customFormat="false" ht="15" hidden="false" customHeight="false" outlineLevel="0" collapsed="false">
      <c r="A178" s="15" t="n">
        <v>332578486</v>
      </c>
      <c r="B178" s="16" t="s">
        <v>676</v>
      </c>
      <c r="C178" s="16" t="s">
        <v>741</v>
      </c>
      <c r="D178" s="16" t="n">
        <v>1.95</v>
      </c>
      <c r="E178" s="16" t="n">
        <v>2258</v>
      </c>
      <c r="F178" s="16" t="n">
        <v>7269631</v>
      </c>
      <c r="G178" s="16" t="n">
        <v>3220</v>
      </c>
      <c r="H178" s="16" t="s">
        <v>63</v>
      </c>
    </row>
    <row r="179" customFormat="false" ht="15" hidden="false" customHeight="false" outlineLevel="0" collapsed="false">
      <c r="A179" s="15" t="n">
        <v>330435160</v>
      </c>
      <c r="B179" s="16" t="s">
        <v>676</v>
      </c>
      <c r="C179" s="16" t="s">
        <v>741</v>
      </c>
      <c r="D179" s="16" t="n">
        <v>1.95</v>
      </c>
      <c r="E179" s="16" t="n">
        <v>1785</v>
      </c>
      <c r="F179" s="16" t="n">
        <v>4016250</v>
      </c>
      <c r="G179" s="16" t="n">
        <v>2250</v>
      </c>
      <c r="H179" s="16" t="s">
        <v>63</v>
      </c>
    </row>
    <row r="180" customFormat="false" ht="15" hidden="false" customHeight="false" outlineLevel="0" collapsed="false">
      <c r="A180" s="15" t="n">
        <v>332578485</v>
      </c>
      <c r="B180" s="16" t="s">
        <v>676</v>
      </c>
      <c r="C180" s="16" t="s">
        <v>741</v>
      </c>
      <c r="D180" s="16" t="n">
        <v>1.95</v>
      </c>
      <c r="E180" s="16" t="n">
        <v>1320</v>
      </c>
      <c r="F180" s="16" t="n">
        <v>4290000</v>
      </c>
      <c r="G180" s="16" t="n">
        <v>3250</v>
      </c>
      <c r="H180" s="16" t="s">
        <v>63</v>
      </c>
    </row>
    <row r="181" customFormat="false" ht="15" hidden="false" customHeight="false" outlineLevel="0" collapsed="false">
      <c r="A181" s="15" t="n">
        <v>332686996</v>
      </c>
      <c r="B181" s="16" t="s">
        <v>676</v>
      </c>
      <c r="C181" s="16" t="s">
        <v>741</v>
      </c>
      <c r="D181" s="16" t="n">
        <v>1.95</v>
      </c>
      <c r="E181" s="16" t="n">
        <v>1788</v>
      </c>
      <c r="F181" s="16" t="n">
        <v>4023000</v>
      </c>
      <c r="G181" s="16" t="n">
        <v>2250</v>
      </c>
      <c r="H181" s="16" t="s">
        <v>63</v>
      </c>
    </row>
    <row r="182" customFormat="false" ht="15" hidden="false" customHeight="false" outlineLevel="0" collapsed="false">
      <c r="A182" s="15" t="n">
        <v>333275484</v>
      </c>
      <c r="B182" s="16" t="s">
        <v>676</v>
      </c>
      <c r="C182" s="16" t="s">
        <v>741</v>
      </c>
      <c r="D182" s="16" t="n">
        <v>1.95</v>
      </c>
      <c r="E182" s="16" t="n">
        <v>2210</v>
      </c>
      <c r="F182" s="16" t="n">
        <v>4971500</v>
      </c>
      <c r="G182" s="16" t="n">
        <v>2250</v>
      </c>
      <c r="H182" s="16" t="s">
        <v>63</v>
      </c>
    </row>
    <row r="183" customFormat="false" ht="15" hidden="false" customHeight="false" outlineLevel="0" collapsed="false">
      <c r="A183" s="15" t="n">
        <v>332581485</v>
      </c>
      <c r="B183" s="16" t="s">
        <v>676</v>
      </c>
      <c r="C183" s="16" t="s">
        <v>741</v>
      </c>
      <c r="D183" s="16" t="n">
        <v>1.95</v>
      </c>
      <c r="E183" s="16" t="n">
        <v>2088</v>
      </c>
      <c r="F183" s="16" t="n">
        <v>6722316</v>
      </c>
      <c r="G183" s="16" t="n">
        <v>3220</v>
      </c>
      <c r="H183" s="16" t="s">
        <v>63</v>
      </c>
    </row>
    <row r="184" customFormat="false" ht="15" hidden="false" customHeight="false" outlineLevel="0" collapsed="false">
      <c r="A184" s="15" t="n">
        <v>332875616</v>
      </c>
      <c r="B184" s="16" t="s">
        <v>676</v>
      </c>
      <c r="C184" s="16" t="s">
        <v>741</v>
      </c>
      <c r="D184" s="16" t="n">
        <v>1.95</v>
      </c>
      <c r="E184" s="16" t="n">
        <v>1792</v>
      </c>
      <c r="F184" s="16" t="n">
        <v>5769344</v>
      </c>
      <c r="G184" s="16" t="n">
        <v>3220</v>
      </c>
      <c r="H184" s="16" t="s">
        <v>63</v>
      </c>
    </row>
    <row r="185" customFormat="false" ht="15" hidden="false" customHeight="false" outlineLevel="0" collapsed="false">
      <c r="A185" s="15" t="n">
        <v>332686985</v>
      </c>
      <c r="B185" s="16" t="s">
        <v>676</v>
      </c>
      <c r="C185" s="16" t="s">
        <v>741</v>
      </c>
      <c r="D185" s="16" t="n">
        <v>1.95</v>
      </c>
      <c r="E185" s="16" t="n">
        <v>2210</v>
      </c>
      <c r="F185" s="16" t="n">
        <v>4972500</v>
      </c>
      <c r="G185" s="16" t="n">
        <v>2250</v>
      </c>
      <c r="H185" s="16" t="s">
        <v>63</v>
      </c>
    </row>
    <row r="186" customFormat="false" ht="15" hidden="false" customHeight="false" outlineLevel="0" collapsed="false">
      <c r="A186" s="15" t="n">
        <v>332875617</v>
      </c>
      <c r="B186" s="16" t="s">
        <v>676</v>
      </c>
      <c r="C186" s="16" t="s">
        <v>741</v>
      </c>
      <c r="D186" s="16" t="n">
        <v>1.95</v>
      </c>
      <c r="E186" s="16" t="n">
        <v>1765</v>
      </c>
      <c r="F186" s="16" t="n">
        <v>5682418</v>
      </c>
      <c r="G186" s="16" t="n">
        <v>3220</v>
      </c>
      <c r="H186" s="16" t="s">
        <v>63</v>
      </c>
    </row>
    <row r="187" customFormat="false" ht="15" hidden="false" customHeight="false" outlineLevel="0" collapsed="false">
      <c r="A187" s="15" t="n">
        <v>331386919</v>
      </c>
      <c r="B187" s="16" t="s">
        <v>676</v>
      </c>
      <c r="C187" s="16" t="s">
        <v>741</v>
      </c>
      <c r="D187" s="16" t="n">
        <v>1.95</v>
      </c>
      <c r="E187" s="16" t="n">
        <v>9322</v>
      </c>
      <c r="F187" s="16" t="n">
        <v>30012179</v>
      </c>
      <c r="G187" s="16" t="n">
        <v>3220</v>
      </c>
      <c r="H187" s="16" t="s">
        <v>63</v>
      </c>
    </row>
    <row r="188" customFormat="false" ht="15" hidden="false" customHeight="false" outlineLevel="0" collapsed="false">
      <c r="A188" s="15" t="n">
        <v>333275559</v>
      </c>
      <c r="B188" s="16" t="s">
        <v>676</v>
      </c>
      <c r="C188" s="16" t="s">
        <v>741</v>
      </c>
      <c r="D188" s="16" t="n">
        <v>1.95</v>
      </c>
      <c r="E188" s="16" t="n">
        <v>1792</v>
      </c>
      <c r="F188" s="16" t="n">
        <v>5824000</v>
      </c>
      <c r="G188" s="16" t="n">
        <v>3250</v>
      </c>
      <c r="H188" s="16" t="s">
        <v>63</v>
      </c>
    </row>
    <row r="189" customFormat="false" ht="15" hidden="false" customHeight="false" outlineLevel="0" collapsed="false">
      <c r="A189" s="15" t="n">
        <v>333276145</v>
      </c>
      <c r="B189" s="16" t="s">
        <v>676</v>
      </c>
      <c r="C189" s="16" t="s">
        <v>741</v>
      </c>
      <c r="D189" s="16" t="n">
        <v>1.95</v>
      </c>
      <c r="E189" s="16" t="n">
        <v>9322</v>
      </c>
      <c r="F189" s="16" t="n">
        <v>30012179</v>
      </c>
      <c r="G189" s="16" t="n">
        <v>3220</v>
      </c>
      <c r="H189" s="16" t="s">
        <v>63</v>
      </c>
    </row>
    <row r="190" customFormat="false" ht="15" hidden="false" customHeight="false" outlineLevel="0" collapsed="false">
      <c r="A190" s="15" t="n">
        <v>333275760</v>
      </c>
      <c r="B190" s="16" t="s">
        <v>676</v>
      </c>
      <c r="C190" s="16" t="s">
        <v>741</v>
      </c>
      <c r="D190" s="16" t="n">
        <v>1.95</v>
      </c>
      <c r="E190" s="16" t="n">
        <v>1765</v>
      </c>
      <c r="F190" s="16" t="n">
        <v>5682418</v>
      </c>
      <c r="G190" s="16" t="n">
        <v>3220</v>
      </c>
      <c r="H190" s="16" t="s">
        <v>63</v>
      </c>
    </row>
    <row r="191" customFormat="false" ht="15" hidden="false" customHeight="false" outlineLevel="0" collapsed="false">
      <c r="A191" s="15" t="n">
        <v>333276110</v>
      </c>
      <c r="B191" s="16" t="s">
        <v>676</v>
      </c>
      <c r="C191" s="16" t="s">
        <v>741</v>
      </c>
      <c r="D191" s="16" t="n">
        <v>1.95</v>
      </c>
      <c r="E191" s="16" t="n">
        <v>10955</v>
      </c>
      <c r="F191" s="16" t="n">
        <v>24648750</v>
      </c>
      <c r="G191" s="16" t="n">
        <v>2250</v>
      </c>
      <c r="H191" s="16" t="s">
        <v>63</v>
      </c>
    </row>
  </sheetData>
  <autoFilter ref="A1:H191"/>
  <hyperlinks>
    <hyperlink ref="A2" r:id="rId1" display="https://www.cian.ru/rent/commercial/334381087/?mlSearchSessionGuid=17e2da5c931c6c87b542a108397253f0"/>
    <hyperlink ref="A3" r:id="rId2" display="https://www.cian.ru/rent/commercial/334666474/?mlSearchSessionGuid=17e2da5c931c6c87b542a108397253f0"/>
    <hyperlink ref="A4" r:id="rId3" display="https://www.cian.ru/rent/commercial/332875555/?mlSearchSessionGuid=17e2da5c931c6c87b542a108397253f0"/>
    <hyperlink ref="A5" r:id="rId4" display="https://www.cian.ru/rent/commercial/315760473/?mlSearchSessionGuid=17e2da5c931c6c87b542a108397253f0"/>
    <hyperlink ref="A6" r:id="rId5" display="https://www.cian.ru/rent/commercial/334681917/?mlSearchSessionGuid=17e2da5c931c6c87b542a108397253f0"/>
    <hyperlink ref="A7" r:id="rId6" display="https://www.cian.ru/rent/commercial/332696489/?mlSearchSessionGuid=17e2da5c931c6c87b542a108397253f0"/>
    <hyperlink ref="A8" r:id="rId7" display="https://www.cian.ru/rent/commercial/332174347/?mlSearchSessionGuid=17e2da5c931c6c87b542a108397253f0"/>
    <hyperlink ref="A9" r:id="rId8" display="https://www.cian.ru/rent/commercial/334860498/?mlSearchSessionGuid=17e2da5c931c6c87b542a108397253f0"/>
    <hyperlink ref="A10" r:id="rId9" display="https://www.cian.ru/rent/commercial/322478899/?mlSearchSessionGuid=17e2da5c931c6c87b542a108397253f0"/>
    <hyperlink ref="A11" r:id="rId10" display="https://www.cian.ru/rent/commercial/332531890/?mlSearchSessionGuid=17e2da5c931c6c87b542a108397253f0"/>
    <hyperlink ref="A12" r:id="rId11" display="https://www.cian.ru/rent/commercial/334893655/?mlSearchSessionGuid=17e2da5c931c6c87b542a108397253f0"/>
    <hyperlink ref="A13" r:id="rId12" display="https://www.cian.ru/rent/commercial/334866869/?mlSearchSessionGuid=10c12b0d9f45ba84383b13be903db8e2"/>
    <hyperlink ref="A14" r:id="rId13" display="https://www.cian.ru/rent/commercial/334866889/?mlSearchSessionGuid=10c12b0d9f45ba84383b13be903db8e2"/>
    <hyperlink ref="A15" r:id="rId14" display="https://www.cian.ru/rent/commercial/316132721/?mlSearchSessionGuid=10c12b0d9f45ba84383b13be903db8e2"/>
    <hyperlink ref="A16" r:id="rId15" display="https://www.cian.ru/rent/commercial/334711814/?mlSearchSessionGuid=10c12b0d9f45ba84383b13be903db8e2"/>
    <hyperlink ref="A17" r:id="rId16" display="https://www.cian.ru/rent/commercial/334711807/?mlSearchSessionGuid=10c12b0d9f45ba84383b13be903db8e2"/>
    <hyperlink ref="A18" r:id="rId17" display="https://www.cian.ru/rent/commercial/334450999/?mlSearchSessionGuid=17e2da5c931c6c87b542a108397253f0"/>
    <hyperlink ref="A19" r:id="rId18" display="https://www.cian.ru/rent/commercial/331163996/?mlSearchSessionGuid=17e2da5c931c6c87b542a108397253f0"/>
    <hyperlink ref="A20" r:id="rId19" display="https://www.cian.ru/rent/commercial/333224839/?mlSearchSessionGuid=17e2da5c931c6c87b542a108397253f0"/>
    <hyperlink ref="A21" r:id="rId20" display="https://www.cian.ru/rent/commercial/332445844/?mlSearchSessionGuid=17e2da5c931c6c87b542a108397253f0"/>
    <hyperlink ref="A22" r:id="rId21" display="https://www.cian.ru/rent/commercial/333876605/?mlSearchSessionGuid=17e2da5c931c6c87b542a108397253f0"/>
    <hyperlink ref="A23" r:id="rId22" display="https://www.cian.ru/rent/commercial/334210610/?mlSearchSessionGuid=10c12b0d9f45ba84383b13be903db8e2"/>
    <hyperlink ref="A24" r:id="rId23" display="https://www.cian.ru/rent/commercial/331743890/?mlSearchSessionGuid=17e2da5c931c6c87b542a108397253f0"/>
    <hyperlink ref="A25" r:id="rId24" display="https://www.cian.ru/rent/commercial/334603836/?mlSearchSessionGuid=17e2da5c931c6c87b542a108397253f0"/>
    <hyperlink ref="A26" r:id="rId25" display="https://www.cian.ru/rent/commercial/331498697/?mlSearchSessionGuid=17e2da5c931c6c87b542a108397253f0"/>
    <hyperlink ref="A27" r:id="rId26" display="https://www.cian.ru/rent/commercial/331101443/?mlSearchSessionGuid=17e2da5c931c6c87b542a108397253f0"/>
    <hyperlink ref="A28" r:id="rId27" display="https://www.cian.ru/rent/commercial/334603952/?mlSearchSessionGuid=17e2da5c931c6c87b542a108397253f0"/>
    <hyperlink ref="A29" r:id="rId28" display="https://www.cian.ru/rent/commercial/331134291/?mlSearchSessionGuid=17e2da5c931c6c87b542a108397253f0"/>
    <hyperlink ref="A30" r:id="rId29" display="https://www.cian.ru/rent/commercial/331134292/?mlSearchSessionGuid=17e2da5c931c6c87b542a108397253f0"/>
    <hyperlink ref="A31" r:id="rId30" display="https://www.cian.ru/rent/commercial/330993169/?mlSearchSessionGuid=17e2da5c931c6c87b542a108397253f0"/>
    <hyperlink ref="A32" r:id="rId31" display="https://www.cian.ru/rent/commercial/306466499/?mlSearchSessionGuid=17e2da5c931c6c87b542a108397253f0"/>
    <hyperlink ref="A33" r:id="rId32" display="https://www.cian.ru/rent/commercial/334429027/?mlSearchSessionGuid=17e2da5c931c6c87b542a108397253f0"/>
    <hyperlink ref="A34" r:id="rId33" display="https://www.cian.ru/rent/commercial/330996461/?mlSearchSessionGuid=17e2da5c931c6c87b542a108397253f0"/>
    <hyperlink ref="A35" r:id="rId34" display="https://www.cian.ru/rent/commercial/302553781/?mlSearchSessionGuid=17e2da5c931c6c87b542a108397253f0"/>
    <hyperlink ref="A36" r:id="rId35" display="https://www.cian.ru/rent/commercial/334671646/?mlSearchSessionGuid=17e2da5c931c6c87b542a108397253f0"/>
    <hyperlink ref="A37" r:id="rId36" display="https://www.cian.ru/rent/commercial/334603859/?mlSearchSessionGuid=17e2da5c931c6c87b542a108397253f0"/>
    <hyperlink ref="A38" r:id="rId37" display="https://www.cian.ru/rent/commercial/334667852/?mlSearchSessionGuid=17e2da5c931c6c87b542a108397253f0"/>
    <hyperlink ref="A39" r:id="rId38" display="https://www.cian.ru/rent/commercial/328572907/?mlSearchSessionGuid=17e2da5c931c6c87b542a108397253f0"/>
    <hyperlink ref="A40" r:id="rId39" display="https://www.cian.ru/rent/commercial/334603980/?mlSearchSessionGuid=10c12b0d9f45ba84383b13be903db8e2"/>
    <hyperlink ref="A41" r:id="rId40" display="https://www.cian.ru/rent/commercial/332893708/?mlSearchSessionGuid=17e2da5c931c6c87b542a108397253f0"/>
    <hyperlink ref="A42" r:id="rId41" display="https://www.cian.ru/rent/commercial/334318161/?mlSearchSessionGuid=17e2da5c931c6c87b542a108397253f0"/>
    <hyperlink ref="A43" r:id="rId42" display="https://www.cian.ru/rent/commercial/332836089/?mlSearchSessionGuid=17e2da5c931c6c87b542a108397253f0"/>
    <hyperlink ref="A44" r:id="rId43" display="https://www.cian.ru/rent/commercial/330435685/?mlSearchSessionGuid=17e2da5c931c6c87b542a108397253f0"/>
    <hyperlink ref="A45" r:id="rId44" display="https://www.cian.ru/rent/commercial/323663061/?mlSearchSessionGuid=17e2da5c931c6c87b542a108397253f0"/>
    <hyperlink ref="A46" r:id="rId45" display="https://www.cian.ru/rent/commercial/330847774/?mlSearchSessionGuid=17e2da5c931c6c87b542a108397253f0"/>
    <hyperlink ref="A47" r:id="rId46" display="https://www.cian.ru/rent/commercial/332061923/?mlSearchSessionGuid=17e2da5c931c6c87b542a108397253f0"/>
    <hyperlink ref="A48" r:id="rId47" display="https://www.cian.ru/rent/commercial/332082043/?mlSearchSessionGuid=17e2da5c931c6c87b542a108397253f0"/>
    <hyperlink ref="A49" r:id="rId48" display="https://www.cian.ru/rent/commercial/333241337/?mlSearchSessionGuid=17e2da5c931c6c87b542a108397253f0"/>
    <hyperlink ref="A50" r:id="rId49" display="https://www.cian.ru/rent/commercial/333675853/?mlSearchSessionGuid=17e2da5c931c6c87b542a108397253f0"/>
    <hyperlink ref="A51" r:id="rId50" display="https://www.cian.ru/rent/commercial/313727519/?mlSearchSessionGuid=17e2da5c931c6c87b542a108397253f0"/>
    <hyperlink ref="A52" r:id="rId51" display="https://www.cian.ru/rent/commercial/333227260/?mlSearchSessionGuid=17e2da5c931c6c87b542a108397253f0"/>
    <hyperlink ref="A53" r:id="rId52" display="https://www.cian.ru/rent/commercial/332479534/?mlSearchSessionGuid=17e2da5c931c6c87b542a108397253f0"/>
    <hyperlink ref="A54" r:id="rId53" display="https://www.cian.ru/rent/commercial/335076851/?mlSearchSessionGuid=17e2da5c931c6c87b542a108397253f0"/>
    <hyperlink ref="A55" r:id="rId54" display="https://www.cian.ru/rent/commercial/334969216/?mlSearchSessionGuid=17e2da5c931c6c87b542a108397253f0"/>
    <hyperlink ref="A56" r:id="rId55" display="https://www.cian.ru/rent/commercial/332336515/?mlSearchSessionGuid=17e2da5c931c6c87b542a108397253f0"/>
    <hyperlink ref="A57" r:id="rId56" display="https://www.cian.ru/rent/commercial/334702161/?mlSearchSessionGuid=17e2da5c931c6c87b542a108397253f0"/>
    <hyperlink ref="A58" r:id="rId57" display="https://www.cian.ru/rent/commercial/333920530/?mlSearchSessionGuid=17e2da5c931c6c87b542a108397253f0"/>
    <hyperlink ref="A59" r:id="rId58" display="https://www.cian.ru/rent/commercial/331849882/?mlSearchSessionGuid=17e2da5c931c6c87b542a108397253f0"/>
    <hyperlink ref="A60" r:id="rId59" display="https://www.cian.ru/rent/commercial/334574979/?mlSearchSessionGuid=17e2da5c931c6c87b542a108397253f0"/>
    <hyperlink ref="A61" r:id="rId60" display="https://www.cian.ru/rent/commercial/334908186/?mlSearchSessionGuid=17e2da5c931c6c87b542a108397253f0"/>
    <hyperlink ref="A62" r:id="rId61" display="https://www.cian.ru/rent/commercial/332872354/?mlSearchSessionGuid=17e2da5c931c6c87b542a108397253f0"/>
    <hyperlink ref="A63" r:id="rId62" display="https://www.cian.ru/rent/commercial/332390859/?mlSearchSessionGuid=17e2da5c931c6c87b542a108397253f0"/>
    <hyperlink ref="A64" r:id="rId63" display="https://www.cian.ru/rent/commercial/333023271/?mlSearchSessionGuid=10c12b0d9f45ba84383b13be903db8e2"/>
    <hyperlink ref="A65" r:id="rId64" display="https://www.cian.ru/rent/commercial/331426581/?mlSearchSessionGuid=17e2da5c931c6c87b542a108397253f0"/>
    <hyperlink ref="A66" r:id="rId65" display="https://www.cian.ru/rent/commercial/332191087/?mlSearchSessionGuid=17e2da5c931c6c87b542a108397253f0"/>
    <hyperlink ref="A67" r:id="rId66" display="https://www.cian.ru/rent/commercial/333688167/?mlSearchSessionGuid=17e2da5c931c6c87b542a108397253f0"/>
    <hyperlink ref="A68" r:id="rId67" display="https://www.cian.ru/rent/commercial/329013118/?mlSearchSessionGuid=17e2da5c931c6c87b542a108397253f0"/>
    <hyperlink ref="A69" r:id="rId68" display="https://www.cian.ru/rent/commercial/332210253/?mlSearchSessionGuid=17e2da5c931c6c87b542a108397253f0"/>
    <hyperlink ref="A70" r:id="rId69" display="https://www.cian.ru/rent/commercial/333170280/?mlSearchSessionGuid=17e2da5c931c6c87b542a108397253f0"/>
    <hyperlink ref="A71" r:id="rId70" display="https://www.cian.ru/rent/commercial/333225862/?mlSearchSessionGuid=17e2da5c931c6c87b542a108397253f0"/>
    <hyperlink ref="A72" r:id="rId71" display="https://www.cian.ru/rent/commercial/332001440/?mlSearchSessionGuid=17e2da5c931c6c87b542a108397253f0"/>
    <hyperlink ref="A73" r:id="rId72" display="https://www.cian.ru/rent/commercial/332951812/?mlSearchSessionGuid=17e2da5c931c6c87b542a108397253f0"/>
    <hyperlink ref="A74" r:id="rId73" display="https://www.cian.ru/rent/commercial/332951813/?mlSearchSessionGuid=17e2da5c931c6c87b542a108397253f0"/>
    <hyperlink ref="A75" r:id="rId74" display="https://www.cian.ru/rent/commercial/334604209/?mlSearchSessionGuid=17e2da5c931c6c87b542a108397253f0"/>
    <hyperlink ref="A76" r:id="rId75" display="https://www.cian.ru/rent/commercial/332035817/?mlSearchSessionGuid=17e2da5c931c6c87b542a108397253f0"/>
    <hyperlink ref="A77" r:id="rId76" display="https://www.cian.ru/rent/commercial/332875569/?mlSearchSessionGuid=17e2da5c931c6c87b542a108397253f0"/>
    <hyperlink ref="A78" r:id="rId77" display="https://www.cian.ru/rent/commercial/332875574/?mlSearchSessionGuid=17e2da5c931c6c87b542a108397253f0"/>
    <hyperlink ref="A79" r:id="rId78" display="https://www.cian.ru/rent/commercial/327105655/?mlSearchSessionGuid=17e2da5c931c6c87b542a108397253f0"/>
    <hyperlink ref="A80" r:id="rId79" display="https://www.cian.ru/rent/commercial/333293999/?mlSearchSessionGuid=17e2da5c931c6c87b542a108397253f0"/>
    <hyperlink ref="A81" r:id="rId80" display="https://www.cian.ru/rent/commercial/331415159/?mlSearchSessionGuid=17e2da5c931c6c87b542a108397253f0"/>
    <hyperlink ref="A82" r:id="rId81" display="https://www.cian.ru/rent/commercial/332951815/?mlSearchSessionGuid=17e2da5c931c6c87b542a108397253f0"/>
    <hyperlink ref="A83" r:id="rId82" display="https://www.cian.ru/rent/commercial/330977833/?mlSearchSessionGuid=17e2da5c931c6c87b542a108397253f0"/>
    <hyperlink ref="A84" r:id="rId83" display="https://www.cian.ru/rent/commercial/331289328/?mlSearchSessionGuid=17e2da5c931c6c87b542a108397253f0"/>
    <hyperlink ref="A85" r:id="rId84" display="https://www.cian.ru/rent/commercial/333921091/?mlSearchSessionGuid=17e2da5c931c6c87b542a108397253f0"/>
    <hyperlink ref="A86" r:id="rId85" display="https://www.cian.ru/rent/commercial/334488235/?mlSearchSessionGuid=17e2da5c931c6c87b542a108397253f0"/>
    <hyperlink ref="A87" r:id="rId86" display="https://www.cian.ru/rent/commercial/334383202/?mlSearchSessionGuid=17e2da5c931c6c87b542a108397253f0"/>
    <hyperlink ref="A88" r:id="rId87" display="https://www.cian.ru/rent/commercial/333976250/?mlSearchSessionGuid=10c12b0d9f45ba84383b13be903db8e2"/>
    <hyperlink ref="A89" r:id="rId88" display="https://www.cian.ru/rent/commercial/333569565/?mlSearchSessionGuid=17e2da5c931c6c87b542a108397253f0"/>
    <hyperlink ref="A90" r:id="rId89" display="https://www.cian.ru/rent/commercial/334112445/?mlSearchSessionGuid=17e2da5c931c6c87b542a108397253f0"/>
    <hyperlink ref="A91" r:id="rId90" display="https://www.cian.ru/rent/commercial/316427871/?mlSearchSessionGuid=10c12b0d9f45ba84383b13be903db8e2"/>
    <hyperlink ref="A92" r:id="rId91" display="https://www.cian.ru/rent/commercial/333685020/?mlSearchSessionGuid=17e2da5c931c6c87b542a108397253f0"/>
    <hyperlink ref="A93" r:id="rId92" display="https://www.cian.ru/rent/commercial/334603754/?mlSearchSessionGuid=17e2da5c931c6c87b542a108397253f0"/>
    <hyperlink ref="A94" r:id="rId93" display="https://www.cian.ru/rent/commercial/334603584/?mlSearchSessionGuid=17e2da5c931c6c87b542a108397253f0"/>
    <hyperlink ref="A95" r:id="rId94" display="https://www.cian.ru/rent/commercial/334604096/?mlSearchSessionGuid=17e2da5c931c6c87b542a108397253f0"/>
    <hyperlink ref="A96" r:id="rId95" display="https://www.cian.ru/rent/commercial/316074873/?mlSearchSessionGuid=17e2da5c931c6c87b542a108397253f0"/>
    <hyperlink ref="A97" r:id="rId96" display="https://www.cian.ru/rent/commercial/334580141/?mlSearchSessionGuid=17e2da5c931c6c87b542a108397253f0"/>
    <hyperlink ref="A98" r:id="rId97" display="https://www.cian.ru/rent/commercial/334604086/?mlSearchSessionGuid=17e2da5c931c6c87b542a108397253f0"/>
    <hyperlink ref="A99" r:id="rId98" display="https://www.cian.ru/rent/commercial/334603886/?mlSearchSessionGuid=17e2da5c931c6c87b542a108397253f0"/>
    <hyperlink ref="A100" r:id="rId99" display="https://www.cian.ru/rent/commercial/334603889/?mlSearchSessionGuid=17e2da5c931c6c87b542a108397253f0"/>
    <hyperlink ref="A101" r:id="rId100" display="https://www.cian.ru/rent/commercial/334982113/?mlSearchSessionGuid=17e2da5c931c6c87b542a108397253f0"/>
    <hyperlink ref="A102" r:id="rId101" display="https://www.cian.ru/rent/commercial/334982112/?mlSearchSessionGuid=17e2da5c931c6c87b542a108397253f0"/>
    <hyperlink ref="A103" r:id="rId102" display="https://www.cian.ru/rent/commercial/334604088/?mlSearchSessionGuid=10c12b0d9f45ba84383b13be903db8e2"/>
    <hyperlink ref="A104" r:id="rId103" display="https://www.cian.ru/rent/commercial/334604177/?mlSearchSessionGuid=10c12b0d9f45ba84383b13be903db8e2"/>
    <hyperlink ref="A105" r:id="rId104" display="https://www.cian.ru/rent/commercial/332695406/?mlSearchSessionGuid=17e2da5c931c6c87b542a108397253f0"/>
    <hyperlink ref="A106" r:id="rId105" display="https://www.cian.ru/rent/commercial/334686663/?mlSearchSessionGuid=17e2da5c931c6c87b542a108397253f0"/>
    <hyperlink ref="A107" r:id="rId106" display="https://www.cian.ru/rent/commercial/331849878/?mlSearchSessionGuid=17e2da5c931c6c87b542a108397253f0"/>
    <hyperlink ref="A108" r:id="rId107" display="https://www.cian.ru/rent/commercial/332805739/?mlSearchSessionGuid=17e2da5c931c6c87b542a108397253f0"/>
    <hyperlink ref="A109" r:id="rId108" display="https://www.cian.ru/rent/commercial/330302762/?mlSearchSessionGuid=17e2da5c931c6c87b542a108397253f0"/>
    <hyperlink ref="A110" r:id="rId109" display="https://www.cian.ru/rent/commercial/333936042/?mlSearchSessionGuid=10c12b0d9f45ba84383b13be903db8e2"/>
    <hyperlink ref="A111" r:id="rId110" display="https://www.cian.ru/rent/commercial/333935991/?mlSearchSessionGuid=10c12b0d9f45ba84383b13be903db8e2"/>
    <hyperlink ref="A112" r:id="rId111" display="https://www.cian.ru/rent/commercial/334330479/?mlSearchSessionGuid=17e2da5c931c6c87b542a108397253f0"/>
    <hyperlink ref="A113" r:id="rId112" display="https://www.cian.ru/rent/commercial/334702410/?mlSearchSessionGuid=10c12b0d9f45ba84383b13be903db8e2"/>
    <hyperlink ref="A114" r:id="rId113" display="https://www.cian.ru/rent/commercial/331722635/?mlSearchSessionGuid=17e2da5c931c6c87b542a108397253f0"/>
    <hyperlink ref="A115" r:id="rId114" display="https://www.cian.ru/rent/commercial/334603700/?mlSearchSessionGuid=17e2da5c931c6c87b542a108397253f0"/>
    <hyperlink ref="A116" r:id="rId115" display="https://www.cian.ru/rent/commercial/334603736/?mlSearchSessionGuid=17e2da5c931c6c87b542a108397253f0"/>
    <hyperlink ref="A117" r:id="rId116" display="https://www.cian.ru/rent/commercial/331159054/?mlSearchSessionGuid=17e2da5c931c6c87b542a108397253f0"/>
    <hyperlink ref="A118" r:id="rId117" display="https://www.cian.ru/rent/commercial/334604059/?mlSearchSessionGuid=17e2da5c931c6c87b542a108397253f0"/>
    <hyperlink ref="A119" r:id="rId118" display="https://www.cian.ru/rent/commercial/334604058/?mlSearchSessionGuid=17e2da5c931c6c87b542a108397253f0"/>
    <hyperlink ref="A120" r:id="rId119" display="https://www.cian.ru/rent/commercial/334604018/?mlSearchSessionGuid=17e2da5c931c6c87b542a108397253f0"/>
    <hyperlink ref="A121" r:id="rId120" display="https://www.cian.ru/rent/commercial/334604128/?mlSearchSessionGuid=17e2da5c931c6c87b542a108397253f0"/>
    <hyperlink ref="A122" r:id="rId121" display="https://www.cian.ru/rent/commercial/334603931/?mlSearchSessionGuid=17e2da5c931c6c87b542a108397253f0"/>
    <hyperlink ref="A123" r:id="rId122" display="https://www.cian.ru/rent/commercial/334604270/?mlSearchSessionGuid=17e2da5c931c6c87b542a108397253f0"/>
    <hyperlink ref="A124" r:id="rId123" display="https://www.cian.ru/rent/commercial/331195567/?mlSearchSessionGuid=17e2da5c931c6c87b542a108397253f0"/>
    <hyperlink ref="A125" r:id="rId124" display="https://www.cian.ru/rent/commercial/334604056/?mlSearchSessionGuid=17e2da5c931c6c87b542a108397253f0"/>
    <hyperlink ref="A126" r:id="rId125" display="https://www.cian.ru/rent/commercial/334993609/?mlSearchSessionGuid=17e2da5c931c6c87b542a108397253f0"/>
    <hyperlink ref="A127" r:id="rId126" display="https://www.cian.ru/rent/commercial/334995364/?mlSearchSessionGuid=17e2da5c931c6c87b542a108397253f0"/>
    <hyperlink ref="A128" r:id="rId127" display="https://www.cian.ru/rent/commercial/334995365/?mlSearchSessionGuid=17e2da5c931c6c87b542a108397253f0"/>
    <hyperlink ref="A129" r:id="rId128" display="https://www.cian.ru/rent/commercial/334993608/?mlSearchSessionGuid=17e2da5c931c6c87b542a108397253f0"/>
    <hyperlink ref="A130" r:id="rId129" display="https://www.cian.ru/rent/commercial/334995363/?mlSearchSessionGuid=17e2da5c931c6c87b542a108397253f0"/>
    <hyperlink ref="A131" r:id="rId130" display="https://www.cian.ru/rent/commercial/335001693/?mlSearchSessionGuid=17e2da5c931c6c87b542a108397253f0"/>
    <hyperlink ref="A132" r:id="rId131" display="https://www.cian.ru/rent/commercial/335001696/?mlSearchSessionGuid=17e2da5c931c6c87b542a108397253f0"/>
    <hyperlink ref="A133" r:id="rId132" display="https://www.cian.ru/rent/commercial/335027076/?mlSearchSessionGuid=17e2da5c931c6c87b542a108397253f0"/>
    <hyperlink ref="A134" r:id="rId133" display="https://www.cian.ru/rent/commercial/334910837/?mlSearchSessionGuid=17e2da5c931c6c87b542a108397253f0"/>
    <hyperlink ref="A135" r:id="rId134" display="https://www.cian.ru/rent/commercial/335000749/?mlSearchSessionGuid=17e2da5c931c6c87b542a108397253f0"/>
    <hyperlink ref="A136" r:id="rId135" display="https://www.cian.ru/rent/commercial/334955553/?mlSearchSessionGuid=17e2da5c931c6c87b542a108397253f0"/>
    <hyperlink ref="A137" r:id="rId136" display="https://www.cian.ru/rent/commercial/334116083/?mlSearchSessionGuid=10c12b0d9f45ba84383b13be903db8e2"/>
    <hyperlink ref="A138" r:id="rId137" display="https://www.cian.ru/rent/commercial/331121917/?mlSearchSessionGuid=17e2da5c931c6c87b542a108397253f0"/>
    <hyperlink ref="A139" r:id="rId138" display="https://www.cian.ru/rent/commercial/332392285/?mlSearchSessionGuid=17e2da5c931c6c87b542a108397253f0"/>
    <hyperlink ref="A140" r:id="rId139" display="https://www.cian.ru/rent/commercial/333810561/?mlSearchSessionGuid=17e2da5c931c6c87b542a108397253f0"/>
    <hyperlink ref="A141" r:id="rId140" display="https://www.cian.ru/rent/commercial/329007128/?mlSearchSessionGuid=17e2da5c931c6c87b542a108397253f0"/>
    <hyperlink ref="A142" r:id="rId141" display="https://www.cian.ru/rent/commercial/331933835/?mlSearchSessionGuid=17e2da5c931c6c87b542a108397253f0"/>
    <hyperlink ref="A143" r:id="rId142" display="https://www.cian.ru/rent/commercial/331332922/?mlSearchSessionGuid=17e2da5c931c6c87b542a108397253f0"/>
    <hyperlink ref="A144" r:id="rId143" display="https://www.cian.ru/rent/commercial/328850016/?mlSearchSessionGuid=17e2da5c931c6c87b542a108397253f0"/>
    <hyperlink ref="A145" r:id="rId144" display="https://www.cian.ru/rent/commercial/155403939/?mlSearchSessionGuid=17e2da5c931c6c87b542a108397253f0"/>
    <hyperlink ref="A146" r:id="rId145" display="https://www.cian.ru/rent/commercial/327230871/?mlSearchSessionGuid=17e2da5c931c6c87b542a108397253f0"/>
    <hyperlink ref="A147" r:id="rId146" display="https://www.cian.ru/rent/commercial/334518390/?mlSearchSessionGuid=17e2da5c931c6c87b542a108397253f0"/>
    <hyperlink ref="A148" r:id="rId147" display="https://www.cian.ru/rent/commercial/334201070/?mlSearchSessionGuid=17e2da5c931c6c87b542a108397253f0"/>
    <hyperlink ref="A149" r:id="rId148" display="https://www.cian.ru/rent/commercial/164963756/?mlSearchSessionGuid=17e2da5c931c6c87b542a108397253f0"/>
    <hyperlink ref="A150" r:id="rId149" display="https://www.cian.ru/rent/commercial/334884858/?mlSearchSessionGuid=17e2da5c931c6c87b542a108397253f0"/>
    <hyperlink ref="A151" r:id="rId150" display="https://www.cian.ru/rent/commercial/334976510/?mlSearchSessionGuid=17e2da5c931c6c87b542a108397253f0"/>
    <hyperlink ref="A152" r:id="rId151" display="https://www.cian.ru/rent/commercial/334976165/?mlSearchSessionGuid=17e2da5c931c6c87b542a108397253f0"/>
    <hyperlink ref="A153" r:id="rId152" display="https://www.cian.ru/rent/commercial/334975359/?mlSearchSessionGuid=17e2da5c931c6c87b542a108397253f0"/>
    <hyperlink ref="A154" r:id="rId153" display="https://www.cian.ru/rent/commercial/334975825/?mlSearchSessionGuid=17e2da5c931c6c87b542a108397253f0"/>
    <hyperlink ref="A155" r:id="rId154" display="https://www.cian.ru/rent/commercial/334557110/?mlSearchSessionGuid=17e2da5c931c6c87b542a108397253f0"/>
    <hyperlink ref="A156" r:id="rId155" display="https://www.cian.ru/rent/commercial/332604564/?mlSearchSessionGuid=17e2da5c931c6c87b542a108397253f0"/>
    <hyperlink ref="A157" r:id="rId156" display="https://www.cian.ru/rent/commercial/316189963/?mlSearchSessionGuid=17e2da5c931c6c87b542a108397253f0"/>
    <hyperlink ref="A158" r:id="rId157" display="https://www.cian.ru/rent/commercial/332579128/?mlSearchSessionGuid=17e2da5c931c6c87b542a108397253f0"/>
    <hyperlink ref="A159" r:id="rId158" display="https://www.cian.ru/rent/commercial/334088701/?mlSearchSessionGuid=17e2da5c931c6c87b542a108397253f0"/>
    <hyperlink ref="A160" r:id="rId159" display="https://www.cian.ru/rent/commercial/333049729/?mlSearchSessionGuid=17e2da5c931c6c87b542a108397253f0"/>
    <hyperlink ref="A161" r:id="rId160" display="https://www.cian.ru/rent/commercial/334018571/?mlSearchSessionGuid=17e2da5c931c6c87b542a108397253f0"/>
    <hyperlink ref="A162" r:id="rId161" display="https://www.cian.ru/rent/commercial/330434825/?mlSearchSessionGuid=17e2da5c931c6c87b542a108397253f0"/>
    <hyperlink ref="A163" r:id="rId162" display="https://www.cian.ru/rent/commercial/331761096/?mlSearchSessionGuid=17e2da5c931c6c87b542a108397253f0"/>
    <hyperlink ref="A164" r:id="rId163" display="https://www.cian.ru/rent/commercial/334603750/?mlSearchSessionGuid=17e2da5c931c6c87b542a108397253f0"/>
    <hyperlink ref="A165" r:id="rId164" display="https://www.cian.ru/rent/commercial/334603752/?mlSearchSessionGuid=17e2da5c931c6c87b542a108397253f0"/>
    <hyperlink ref="A166" r:id="rId165" display="https://www.cian.ru/rent/commercial/334604152/?mlSearchSessionGuid=17e2da5c931c6c87b542a108397253f0"/>
    <hyperlink ref="A167" r:id="rId166" display="https://www.cian.ru/rent/commercial/334604225/?mlSearchSessionGuid=17e2da5c931c6c87b542a108397253f0"/>
    <hyperlink ref="A168" r:id="rId167" display="https://www.cian.ru/rent/commercial/334257727/?mlSearchSessionGuid=17e2da5c931c6c87b542a108397253f0"/>
    <hyperlink ref="A169" r:id="rId168" display="https://www.cian.ru/rent/commercial/331363724/?mlSearchSessionGuid=17e2da5c931c6c87b542a108397253f0"/>
    <hyperlink ref="A170" r:id="rId169" display="https://www.cian.ru/rent/commercial/334604027/?mlSearchSessionGuid=17e2da5c931c6c87b542a108397253f0"/>
    <hyperlink ref="A171" r:id="rId170" display="https://www.cian.ru/rent/commercial/334604124/?mlSearchSessionGuid=17e2da5c931c6c87b542a108397253f0"/>
    <hyperlink ref="A172" r:id="rId171" display="https://www.cian.ru/rent/commercial/334604020/?mlSearchSessionGuid=17e2da5c931c6c87b542a108397253f0"/>
    <hyperlink ref="A173" r:id="rId172" display="https://www.cian.ru/rent/commercial/334389005/?mlSearchSessionGuid=17e2da5c931c6c87b542a108397253f0"/>
    <hyperlink ref="A174" r:id="rId173" display="https://www.cian.ru/rent/commercial/334383187/?mlSearchSessionGuid=17e2da5c931c6c87b542a108397253f0"/>
    <hyperlink ref="A175" r:id="rId174" display="https://www.cian.ru/rent/commercial/332687000/?mlSearchSessionGuid=17e2da5c931c6c87b542a108397253f0"/>
    <hyperlink ref="A176" r:id="rId175" display="https://www.cian.ru/rent/commercial/332686992/?mlSearchSessionGuid=17e2da5c931c6c87b542a108397253f0"/>
    <hyperlink ref="A177" r:id="rId176" display="https://www.cian.ru/rent/commercial/332686981/?mlSearchSessionGuid=17e2da5c931c6c87b542a108397253f0"/>
    <hyperlink ref="A178" r:id="rId177" display="https://www.cian.ru/rent/commercial/332578486/?mlSearchSessionGuid=17e2da5c931c6c87b542a108397253f0"/>
    <hyperlink ref="A179" r:id="rId178" display="https://www.cian.ru/rent/commercial/330435160/?mlSearchSessionGuid=17e2da5c931c6c87b542a108397253f0"/>
    <hyperlink ref="A180" r:id="rId179" display="https://www.cian.ru/rent/commercial/332578485/?mlSearchSessionGuid=17e2da5c931c6c87b542a108397253f0"/>
    <hyperlink ref="A181" r:id="rId180" display="https://www.cian.ru/rent/commercial/332686996/?mlSearchSessionGuid=17e2da5c931c6c87b542a108397253f0"/>
    <hyperlink ref="A182" r:id="rId181" display="https://www.cian.ru/rent/commercial/333275484/?mlSearchSessionGuid=17e2da5c931c6c87b542a108397253f0"/>
    <hyperlink ref="A183" r:id="rId182" display="https://www.cian.ru/rent/commercial/332581485/?mlSearchSessionGuid=17e2da5c931c6c87b542a108397253f0"/>
    <hyperlink ref="A184" r:id="rId183" display="https://www.cian.ru/rent/commercial/332875616/?mlSearchSessionGuid=17e2da5c931c6c87b542a108397253f0"/>
    <hyperlink ref="A185" r:id="rId184" display="https://www.cian.ru/rent/commercial/332686985/?mlSearchSessionGuid=17e2da5c931c6c87b542a108397253f0"/>
    <hyperlink ref="A186" r:id="rId185" display="https://www.cian.ru/rent/commercial/332875617/?mlSearchSessionGuid=17e2da5c931c6c87b542a108397253f0"/>
    <hyperlink ref="A187" r:id="rId186" display="https://www.cian.ru/rent/commercial/331386919/?mlSearchSessionGuid=17e2da5c931c6c87b542a108397253f0"/>
    <hyperlink ref="A188" r:id="rId187" display="https://www.cian.ru/rent/commercial/333275559/?mlSearchSessionGuid=17e2da5c931c6c87b542a108397253f0"/>
    <hyperlink ref="A189" r:id="rId188" display="https://www.cian.ru/rent/commercial/333276145/?mlSearchSessionGuid=17e2da5c931c6c87b542a108397253f0"/>
    <hyperlink ref="A190" r:id="rId189" display="https://www.cian.ru/rent/commercial/333275760/?mlSearchSessionGuid=17e2da5c931c6c87b542a108397253f0"/>
    <hyperlink ref="A191" r:id="rId190" display="https://www.cian.ru/rent/commercial/333276110/?mlSearchSessionGuid=17e2da5c931c6c87b542a108397253f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4" min="3" style="0" width="10"/>
    <col collapsed="false" customWidth="true" hidden="false" outlineLevel="0" max="5" min="5" style="0" width="18"/>
  </cols>
  <sheetData>
    <row r="1" customFormat="false" ht="39.75" hidden="false" customHeight="true" outlineLevel="0" collapsed="false">
      <c r="A1" s="14" t="s">
        <v>742</v>
      </c>
      <c r="B1" s="14" t="s">
        <v>743</v>
      </c>
      <c r="C1" s="14" t="s">
        <v>673</v>
      </c>
      <c r="D1" s="14" t="s">
        <v>744</v>
      </c>
      <c r="E1" s="14" t="s">
        <v>745</v>
      </c>
    </row>
    <row r="2" customFormat="false" ht="15" hidden="false" customHeight="false" outlineLevel="0" collapsed="false">
      <c r="A2" s="16" t="s">
        <v>746</v>
      </c>
      <c r="B2" s="16" t="n">
        <v>38951205</v>
      </c>
      <c r="C2" s="16" t="n">
        <v>2740</v>
      </c>
      <c r="D2" s="16" t="s">
        <v>747</v>
      </c>
      <c r="E2" s="16" t="s">
        <v>748</v>
      </c>
    </row>
    <row r="3" customFormat="false" ht="15" hidden="false" customHeight="false" outlineLevel="0" collapsed="false">
      <c r="A3" s="16" t="s">
        <v>749</v>
      </c>
      <c r="B3" s="16" t="n">
        <v>50578150</v>
      </c>
      <c r="C3" s="16" t="n">
        <v>3558</v>
      </c>
      <c r="D3" s="16" t="s">
        <v>750</v>
      </c>
      <c r="E3" s="16" t="s">
        <v>751</v>
      </c>
    </row>
    <row r="4" customFormat="false" ht="22.35" hidden="false" customHeight="false" outlineLevel="0" collapsed="false">
      <c r="A4" s="16" t="s">
        <v>752</v>
      </c>
      <c r="B4" s="16" t="n">
        <v>43200000</v>
      </c>
      <c r="C4" s="16" t="n">
        <v>3039</v>
      </c>
      <c r="D4" s="16" t="s">
        <v>750</v>
      </c>
      <c r="E4" s="16" t="s">
        <v>753</v>
      </c>
    </row>
    <row r="5" customFormat="false" ht="15" hidden="false" customHeight="false" outlineLevel="0" collapsed="false">
      <c r="A5" s="16" t="s">
        <v>754</v>
      </c>
      <c r="B5" s="16" t="n">
        <v>45480000</v>
      </c>
      <c r="C5" s="16" t="n">
        <v>3200</v>
      </c>
      <c r="D5" s="16" t="s">
        <v>755</v>
      </c>
      <c r="E5" s="16" t="s">
        <v>756</v>
      </c>
    </row>
    <row r="6" customFormat="false" ht="15" hidden="false" customHeight="false" outlineLevel="0" collapsed="false">
      <c r="A6" s="16" t="s">
        <v>757</v>
      </c>
      <c r="B6" s="16" t="n">
        <v>43200000</v>
      </c>
      <c r="C6" s="16" t="n">
        <v>3039</v>
      </c>
      <c r="D6" s="16" t="s">
        <v>758</v>
      </c>
      <c r="E6" s="16" t="s">
        <v>759</v>
      </c>
    </row>
    <row r="7" customFormat="false" ht="15" hidden="false" customHeight="false" outlineLevel="0" collapsed="false">
      <c r="A7" s="16" t="s">
        <v>760</v>
      </c>
      <c r="B7" s="16" t="n">
        <v>41457500</v>
      </c>
      <c r="C7" s="16" t="n">
        <v>2917</v>
      </c>
      <c r="D7" s="16" t="s">
        <v>755</v>
      </c>
      <c r="E7" s="16" t="s">
        <v>759</v>
      </c>
    </row>
    <row r="8" customFormat="false" ht="15" hidden="false" customHeight="false" outlineLevel="0" collapsed="false">
      <c r="A8" s="16" t="s">
        <v>761</v>
      </c>
      <c r="B8" s="16" t="n">
        <v>38951205</v>
      </c>
      <c r="C8" s="16" t="n">
        <v>2740</v>
      </c>
      <c r="D8" s="16" t="s">
        <v>762</v>
      </c>
      <c r="E8" s="16" t="s">
        <v>748</v>
      </c>
    </row>
    <row r="9" customFormat="false" ht="15" hidden="false" customHeight="false" outlineLevel="0" collapsed="false">
      <c r="A9" s="16" t="s">
        <v>763</v>
      </c>
      <c r="B9" s="16" t="n">
        <v>39730229</v>
      </c>
      <c r="C9" s="16" t="n">
        <v>2795</v>
      </c>
      <c r="D9" s="16" t="s">
        <v>764</v>
      </c>
      <c r="E9" s="16" t="s">
        <v>759</v>
      </c>
    </row>
  </sheetData>
  <autoFilter ref="A1:E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2026-10-19T08:49:13Z</dcterms:created>
  <dc:creator>openpyxl</dc:creator>
  <dc:description/>
  <dc:language>en-US</dc:language>
  <cp:lastModifiedBy/>
  <dcterms:modified xsi:type="dcterms:W3CDTF">2026-10-19T08:49:13Z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