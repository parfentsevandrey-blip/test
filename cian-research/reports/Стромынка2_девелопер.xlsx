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ь девелопера" sheetId="1" state="visible" r:id="rId3"/>
    <sheet name="Ориентиры рынка земли" sheetId="2" state="visible" r:id="rId4"/>
    <sheet name="Участки с ГНС (ЦИАН)" sheetId="3" state="visible" r:id="rId5"/>
    <sheet name="Новостройки рядом (ЦИАН)" sheetId="4" state="visible" r:id="rId6"/>
    <sheet name="Статья «Ведомостей»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<sst xmlns="http://schemas.openxmlformats.org/spreadsheetml/2006/main" count="179" uniqueCount="170">
  <si>
    <t xml:space="preserve">Стромынка, 2: сколько девелопер может заплатить за участок (снос здания, новое строительство)</t>
  </si>
  <si>
    <t xml:space="preserve">Синий шрифт — допущения, их можно менять; всё остальное считается формулами. Жёлтые — главные допущения.</t>
  </si>
  <si>
    <t xml:space="preserve">Пятно застройки, м²</t>
  </si>
  <si>
    <t xml:space="preserve">Пятно нынешнего здания по ЕГРН; участок 484 м² — шире не построить</t>
  </si>
  <si>
    <t xml:space="preserve">Цена продажи квартир, ₽/м²</t>
  </si>
  <si>
    <t xml:space="preserve">Новостройки до 1 км: «Ренессанс» 627 тыс., «КОД Сокольники» 642 тыс., «СТОУН Сокольники» 554 тыс.; клубный «Артель» — 780 тыс.</t>
  </si>
  <si>
    <t xml:space="preserve">Цена продажи 1 этажа (стрит-ритейл), ₽/м²</t>
  </si>
  <si>
    <t xml:space="preserve">Первая линия у метро</t>
  </si>
  <si>
    <t xml:space="preserve">Доля продаваемой площади квартир</t>
  </si>
  <si>
    <t xml:space="preserve">Остальное — лестницы, лифты, холлы, стены</t>
  </si>
  <si>
    <t xml:space="preserve">Доля продаваемой площади 1 этажа</t>
  </si>
  <si>
    <t xml:space="preserve">Строительство наземной части, ₽/м²</t>
  </si>
  <si>
    <t xml:space="preserve">Офисы высокого класса в Москве — 220 тыс. ₽/м² в 2026 г. (IBC Real Estate и Stone); жильё без отделки — чуть дешевле</t>
  </si>
  <si>
    <t xml:space="preserve">Строительство подземного этажа, ₽/м²</t>
  </si>
  <si>
    <t xml:space="preserve">Подземный этаж (технический), м²</t>
  </si>
  <si>
    <t xml:space="preserve">Паркинг на участке 484 м² не поместится: нет места для рампы</t>
  </si>
  <si>
    <t xml:space="preserve">Снос нынешнего здания, ₽</t>
  </si>
  <si>
    <t xml:space="preserve">≈ 8 тыс. ₽ на м² из 1 184,5 м²</t>
  </si>
  <si>
    <t xml:space="preserve">Археологические раскопки, ₽</t>
  </si>
  <si>
    <t xml:space="preserve">Оценка: участок на территории культурного слоя XVIII в.; смету даёт Департамент культурного наследия</t>
  </si>
  <si>
    <t xml:space="preserve">Плата городу за смену ВРИ и изменение ПЗЗ, ₽</t>
  </si>
  <si>
    <t xml:space="preserve">Оценка: ВРИ сейчас «бытовые услуги»; точную сумму считает ДГИ</t>
  </si>
  <si>
    <t xml:space="preserve">Проектирование и экспертиза, доля стройки</t>
  </si>
  <si>
    <t xml:space="preserve">Подключение к сетям, доля стройки</t>
  </si>
  <si>
    <t xml:space="preserve">Маркетинг и продажи, доля выручки</t>
  </si>
  <si>
    <t xml:space="preserve">Прибыль девелопера, доля выручки</t>
  </si>
  <si>
    <t xml:space="preserve">Обычный ориентир 15–25%; маленький проект в охранной зоне — риск выше</t>
  </si>
  <si>
    <t xml:space="preserve">Финансирование стройки, доля затрат</t>
  </si>
  <si>
    <t xml:space="preserve">Проектное финансирование с эскроу, ≈ 2 года</t>
  </si>
  <si>
    <t xml:space="preserve">Ставка по кредиту на покупку земли, годовых</t>
  </si>
  <si>
    <t xml:space="preserve">«Ведомости»: бридж-кредиты на землю — более 20% годовых</t>
  </si>
  <si>
    <t xml:space="preserve">Срок согласований до начала стройки, лет</t>
  </si>
  <si>
    <t xml:space="preserve">Смена ВРИ и ПЗЗ через ГЗК, согласование с ДКН, ГПЗУ, экспертиза, раскопки</t>
  </si>
  <si>
    <t xml:space="preserve">Чистый доход от МФЦ, ₽ в год</t>
  </si>
  <si>
    <t xml:space="preserve">38,95 млн с НДС минус эксплуатация 2,28 млн</t>
  </si>
  <si>
    <t xml:space="preserve">Сколько лет МФЦ остаётся, пока идут согласования</t>
  </si>
  <si>
    <t xml:space="preserve">0 — здание сразу свободно; 2 — МФЦ платит, пока девелопер получает разрешения</t>
  </si>
  <si>
    <t xml:space="preserve">Предложение покупателя, ₽</t>
  </si>
  <si>
    <t xml:space="preserve">РАСЧЁТ ПО ВАРИАНТАМ ЭТАЖНОСТИ</t>
  </si>
  <si>
    <t xml:space="preserve">Этажей над землёй</t>
  </si>
  <si>
    <t xml:space="preserve">Наземная площадь, м²</t>
  </si>
  <si>
    <t xml:space="preserve">Продаваемые квартиры (2 этаж и выше), м²</t>
  </si>
  <si>
    <t xml:space="preserve">Продаваемый 1 этаж, м²</t>
  </si>
  <si>
    <t xml:space="preserve">Выручка, ₽</t>
  </si>
  <si>
    <t xml:space="preserve">Строительство, ₽</t>
  </si>
  <si>
    <t xml:space="preserve">Проектирование и сети, ₽</t>
  </si>
  <si>
    <t xml:space="preserve">Снос, раскопки, плата за ВРИ и ПЗЗ, ₽</t>
  </si>
  <si>
    <t xml:space="preserve">Финансирование стройки, ₽</t>
  </si>
  <si>
    <t xml:space="preserve">Маркетинг и продажи, ₽</t>
  </si>
  <si>
    <t xml:space="preserve">Прибыль девелопера, ₽</t>
  </si>
  <si>
    <t xml:space="preserve">Остаётся на землю к началу стройки, ₽</t>
  </si>
  <si>
    <t xml:space="preserve">Стоимость земли сегодня (с учётом кредита на срок согласований), ₽</t>
  </si>
  <si>
    <t xml:space="preserve">Доход от МФЦ на время согласований (сегодняшние деньги), ₽</t>
  </si>
  <si>
    <t xml:space="preserve">ИТОГО девелопер может заплатить, млн ₽</t>
  </si>
  <si>
    <t xml:space="preserve">Предложение 550 млн больше этой суммы, раз</t>
  </si>
  <si>
    <t xml:space="preserve">Остаток на землю на 1 м² общей площади (наземной и подземной), ₽</t>
  </si>
  <si>
    <t xml:space="preserve">Сколько этажей нужно, чтобы девелопер окупил 550 млн</t>
  </si>
  <si>
    <t xml:space="preserve">Модель линейна по этажам: каждый этаж добавляет одинаковую сумму</t>
  </si>
  <si>
    <t xml:space="preserve">Здание с МФЦ при текущем использовании, млн ₽</t>
  </si>
  <si>
    <t xml:space="preserve">Доходный и сравнительный подходы, отчёт «Стромынка2_оценка.pdf»</t>
  </si>
  <si>
    <t xml:space="preserve">Площадь участка :4, га</t>
  </si>
  <si>
    <t xml:space="preserve">ЕГРН</t>
  </si>
  <si>
    <t xml:space="preserve">Средняя цена 1 га под жильё в Москве, 9 мес. 2026, млрд ₽</t>
  </si>
  <si>
    <t xml:space="preserve">IBC Real Estate, «Ведомости»</t>
  </si>
  <si>
    <t xml:space="preserve">Минимум 2026: Молжаниново, млрд ₽ за га</t>
  </si>
  <si>
    <t xml:space="preserve">Asseto, «Ведомости»: 5,16 га за 7,19 млрд</t>
  </si>
  <si>
    <t xml:space="preserve">Максимум 2026: у Павелецкого вокзала, млрд ₽ за га</t>
  </si>
  <si>
    <t xml:space="preserve">Asseto, «Ведомости»: 0,47 га за 5,5 млрд</t>
  </si>
  <si>
    <t xml:space="preserve">Участок по средней цене, млн ₽</t>
  </si>
  <si>
    <t xml:space="preserve">Участок по минимальной цене, млн ₽</t>
  </si>
  <si>
    <t xml:space="preserve">Участок по максимальной цене, млн ₽</t>
  </si>
  <si>
    <t xml:space="preserve">Предложение 550 млн в пересчёте на 1 га, млрд ₽</t>
  </si>
  <si>
    <t xml:space="preserve">Доля земли в затратах жилого проекта без документов</t>
  </si>
  <si>
    <t xml:space="preserve">«Ведомости»: 12–13%</t>
  </si>
  <si>
    <t xml:space="preserve">Доля земли с готовой разрешительной документацией</t>
  </si>
  <si>
    <t xml:space="preserve">«Ведомости»: до трети</t>
  </si>
  <si>
    <t xml:space="preserve">Затраты проекта без земли, 6 этажей, млн ₽</t>
  </si>
  <si>
    <t xml:space="preserve">Стройка, проектирование, сети, снос, раскопки, ВРИ, финансирование — из модели</t>
  </si>
  <si>
    <t xml:space="preserve">Земля по доле 12,5% (6 этажей), млн ₽</t>
  </si>
  <si>
    <t xml:space="preserve">Земля по доле 1/3 — если бы ГПЗУ уже был (6 этажей), млн ₽</t>
  </si>
  <si>
    <t xml:space="preserve">Медиана цены участков на ЦИАН за 1 м² разрешённой площади, ₽</t>
  </si>
  <si>
    <t xml:space="preserve">Лист «Участки с ГНС (ЦИАН)», нежилое</t>
  </si>
  <si>
    <t xml:space="preserve">Земля по этой цене, 6 этажей + подвал, млн ₽</t>
  </si>
  <si>
    <t xml:space="preserve">ID ЦИАН</t>
  </si>
  <si>
    <t xml:space="preserve">Район</t>
  </si>
  <si>
    <t xml:space="preserve">Адрес</t>
  </si>
  <si>
    <t xml:space="preserve">До центра, км</t>
  </si>
  <si>
    <t xml:space="preserve">Участок, м²</t>
  </si>
  <si>
    <t xml:space="preserve">Цена, млн ₽</t>
  </si>
  <si>
    <t xml:space="preserve">Разрешённая площадь, м²</t>
  </si>
  <si>
    <t xml:space="preserve">₽ за м² разрешённой площади</t>
  </si>
  <si>
    <t xml:space="preserve">НДС</t>
  </si>
  <si>
    <t xml:space="preserve">Что разрешено</t>
  </si>
  <si>
    <t xml:space="preserve">333706127</t>
  </si>
  <si>
    <t xml:space="preserve">Свиблово</t>
  </si>
  <si>
    <t xml:space="preserve">Кольская, 7С35</t>
  </si>
  <si>
    <t xml:space="preserve">notIncluded</t>
  </si>
  <si>
    <t xml:space="preserve">ГПЗУ на реконструкцию до 3 000 м², 7 этажей</t>
  </si>
  <si>
    <t xml:space="preserve">328295784</t>
  </si>
  <si>
    <t xml:space="preserve">Даниловский</t>
  </si>
  <si>
    <t xml:space="preserve">Ленинская Слобода, 26С35</t>
  </si>
  <si>
    <t xml:space="preserve">пройдена ГЗК, деловое управление, 17 этажей</t>
  </si>
  <si>
    <t xml:space="preserve">332186074</t>
  </si>
  <si>
    <t xml:space="preserve">Хорошевский</t>
  </si>
  <si>
    <t xml:space="preserve">2-я Магистральная, 8А</t>
  </si>
  <si>
    <t xml:space="preserve">пройдена ГЗК, ТЭП утверждены; есть здание 10,8 тыс. м²</t>
  </si>
  <si>
    <t xml:space="preserve">334643903</t>
  </si>
  <si>
    <t xml:space="preserve">Гольяново</t>
  </si>
  <si>
    <t xml:space="preserve">2-й Иртышский, 1С8</t>
  </si>
  <si>
    <t xml:space="preserve">ТЭП согласованы, участок выведен из КРТ</t>
  </si>
  <si>
    <t xml:space="preserve">332610492</t>
  </si>
  <si>
    <t xml:space="preserve">Печатники</t>
  </si>
  <si>
    <t xml:space="preserve">1-й Угрешский, 3ВС5</t>
  </si>
  <si>
    <t xml:space="preserve">included</t>
  </si>
  <si>
    <t xml:space="preserve">ГПЗУ 2013 г. на 12,8 тыс. м² наземной части</t>
  </si>
  <si>
    <t xml:space="preserve">334567721</t>
  </si>
  <si>
    <t xml:space="preserve">Даниловская, 8С29А</t>
  </si>
  <si>
    <t xml:space="preserve">плотность 15 тыс. м²/га, высота до 12 м</t>
  </si>
  <si>
    <t xml:space="preserve">335014595</t>
  </si>
  <si>
    <t xml:space="preserve">Савеловский</t>
  </si>
  <si>
    <t xml:space="preserve">Раздельная, 10С1</t>
  </si>
  <si>
    <t xml:space="preserve">ГПЗУ 2025 г., нежилое, здание под снос</t>
  </si>
  <si>
    <t xml:space="preserve">285429175</t>
  </si>
  <si>
    <t xml:space="preserve">Академический</t>
  </si>
  <si>
    <t xml:space="preserve">60-летия Октября, 11АС5</t>
  </si>
  <si>
    <t xml:space="preserve">ГПЗУ: до 1 146 м², высота до 65 м</t>
  </si>
  <si>
    <t xml:space="preserve">334495464</t>
  </si>
  <si>
    <t xml:space="preserve">Тимирязевский</t>
  </si>
  <si>
    <t xml:space="preserve">Чуксин, 9</t>
  </si>
  <si>
    <t xml:space="preserve">ГПЗУ на 6 778,8 м²; есть здание 3,2 тыс. м²</t>
  </si>
  <si>
    <t xml:space="preserve">ЖК</t>
  </si>
  <si>
    <t xml:space="preserve">От объекта, км</t>
  </si>
  <si>
    <t xml:space="preserve">Метро, пешком</t>
  </si>
  <si>
    <t xml:space="preserve">Срок сдачи</t>
  </si>
  <si>
    <t xml:space="preserve">Этажей</t>
  </si>
  <si>
    <t xml:space="preserve">Лотов</t>
  </si>
  <si>
    <t xml:space="preserve">Медиана ₽/м²</t>
  </si>
  <si>
    <t xml:space="preserve">Мин ₽/м²</t>
  </si>
  <si>
    <t xml:space="preserve">Макс ₽/м²</t>
  </si>
  <si>
    <t xml:space="preserve">Апартаменты</t>
  </si>
  <si>
    <t xml:space="preserve">Ренессанс</t>
  </si>
  <si>
    <t xml:space="preserve">Сокольники, 9 мин</t>
  </si>
  <si>
    <t xml:space="preserve">СТОУН Сокольники</t>
  </si>
  <si>
    <t xml:space="preserve">Сокольники, 12 мин</t>
  </si>
  <si>
    <t xml:space="preserve">КОД Сокольники</t>
  </si>
  <si>
    <t xml:space="preserve">Солос</t>
  </si>
  <si>
    <t xml:space="preserve">Рижская, 17 мин</t>
  </si>
  <si>
    <t xml:space="preserve">ЭВОПАРК Сокольники</t>
  </si>
  <si>
    <t xml:space="preserve">Преображенская площадь, 17 мин</t>
  </si>
  <si>
    <t xml:space="preserve">АРТЕЛЬ</t>
  </si>
  <si>
    <t xml:space="preserve">Преображенская площадь, 5 мин</t>
  </si>
  <si>
    <t xml:space="preserve">Резиденция Сокольники</t>
  </si>
  <si>
    <t xml:space="preserve">Рижская, 15 мин</t>
  </si>
  <si>
    <t xml:space="preserve">Преображенская площадь</t>
  </si>
  <si>
    <t xml:space="preserve">Преображенская площадь, 7 мин</t>
  </si>
  <si>
    <t xml:space="preserve">Зиккурат Преображенский</t>
  </si>
  <si>
    <t xml:space="preserve">Преображенская площадь, 4 мин</t>
  </si>
  <si>
    <t xml:space="preserve">«Девелоперы запасаются землёй», «Ведомости», октябрь 2026 г. (Мария Асиновская) — главное</t>
  </si>
  <si>
    <t xml:space="preserve">Ricci: за 9 мес. 2026 г. девелоперы вложили в участки под жильё 211 млрд ₽ (+37%), 92 сделки (+35%); на столичный регион — около 179 млрд ₽, 85%.</t>
  </si>
  <si>
    <t xml:space="preserve">Nikoliers: 251,5 млрд ₽ (+27%), площадь купленных участков −10%, до 952 га; Москва с Подмосковьем — 170,6 млрд ₽ (+16%), площадь −54%, до 419 га.</t>
  </si>
  <si>
    <t xml:space="preserve">IBC Real Estate: 161 млрд ₽ за три квартала (+15%); в столице — 95 млрд ₽ против 96 млрд годом ранее; в январе–сентябре закрыто 29 сделок против 34.</t>
  </si>
  <si>
    <t xml:space="preserve">NF Group: Московский регион, Петербург и Ленобласть — 123,5 млрд ₽ (−13,6%), сделок 41 против 56.</t>
  </si>
  <si>
    <t xml:space="preserve">IBC Real Estate: средняя стоимость 1 га в Москве за 9 месяцев — 3,9 млрд ₽, на 10% выше прошлого года. Asseto: от 1,4 млрд ₽ за га (Молжаниново, 5,16 га за 7,19 млрд) до 12 млрд ₽ (0,47 га у Павелецкого вокзала за 5,5 млрд); средняя цена за год +16%.</t>
  </si>
  <si>
    <t xml:space="preserve">Ricci: более 70% сделок — участки с одобренными параметрами застройки; готовые документы сокращают сроки и риски.</t>
  </si>
  <si>
    <t xml:space="preserve">Доля участка в затратах на жилой проект — 12–13%, с оформленной разрешительной документацией — до трети (Asseto).</t>
  </si>
  <si>
    <t xml:space="preserve">Бридж-кредиты на покупку земли — более 20% годовых (Element); девелоперы рассчитывают на снижение ключевой ставки.</t>
  </si>
  <si>
    <t xml:space="preserve">Девелоперский цикл — 5–8 лет (BMS): покупая участок сейчас, застройщики ориентируются на 2030-е годы.</t>
  </si>
  <si>
    <t xml:space="preserve">В Москве в приоритете бизнес-класс и выше — их покупатели меньше зависят от ипотечных ставок.</t>
  </si>
  <si>
    <t xml:space="preserve">Продавцы стали сговорчивее; на рынок выходят участки, которые раньше не продавались; хорошие участки не дешевеют, но договориться проще.</t>
  </si>
  <si>
    <t xml:space="preserve">Для сравнения: в первом полугодии 2026 г. средняя цена 1 га в Москве была 3,6 млрд ₽ (−12,2% за год) — «Ведомости», 14.07.2026.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</si>
</sst>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"/>
    <numFmt numFmtId="168" formatCode="0"/>
    <numFmt numFmtId="169" formatCode="#,##0.0"/>
    <numFmt numFmtId="170" formatCode="0.0000"/>
    <numFmt numFmtId="171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8.5"/>
      <color rgb="FF555555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1F4E9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E3EA"/>
        <bgColor rgb="FFC8CD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cian.ru/sale/commercial/333706127/" TargetMode="External"/><Relationship Id="rId2" Type="http://schemas.openxmlformats.org/officeDocument/2006/relationships/hyperlink" Target="https://www.cian.ru/sale/commercial/328295784/" TargetMode="External"/><Relationship Id="rId3" Type="http://schemas.openxmlformats.org/officeDocument/2006/relationships/hyperlink" Target="https://www.cian.ru/sale/commercial/332186074/" TargetMode="External"/><Relationship Id="rId4" Type="http://schemas.openxmlformats.org/officeDocument/2006/relationships/hyperlink" Target="https://www.cian.ru/sale/commercial/334643903/" TargetMode="External"/><Relationship Id="rId5" Type="http://schemas.openxmlformats.org/officeDocument/2006/relationships/hyperlink" Target="https://www.cian.ru/sale/commercial/332610492/" TargetMode="External"/><Relationship Id="rId6" Type="http://schemas.openxmlformats.org/officeDocument/2006/relationships/hyperlink" Target="https://www.cian.ru/sale/commercial/334567721/" TargetMode="External"/><Relationship Id="rId7" Type="http://schemas.openxmlformats.org/officeDocument/2006/relationships/hyperlink" Target="https://www.cian.ru/sale/commercial/335014595/" TargetMode="External"/><Relationship Id="rId8" Type="http://schemas.openxmlformats.org/officeDocument/2006/relationships/hyperlink" Target="https://www.cian.ru/sale/commercial/285429175/" TargetMode="External"/><Relationship Id="rId9" Type="http://schemas.openxmlformats.org/officeDocument/2006/relationships/hyperlink" Target="https://www.cian.ru/sale/commercial/334495464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zhk-renessans-i.cian.ru/" TargetMode="External"/><Relationship Id="rId2" Type="http://schemas.openxmlformats.org/officeDocument/2006/relationships/hyperlink" Target="https://zhk-sokolniki-i.cian.ru/" TargetMode="External"/><Relationship Id="rId3" Type="http://schemas.openxmlformats.org/officeDocument/2006/relationships/hyperlink" Target="https://zhk-kod-sokolniki-i.cian.ru/" TargetMode="External"/><Relationship Id="rId4" Type="http://schemas.openxmlformats.org/officeDocument/2006/relationships/hyperlink" Target="https://zhk-solos-i.cian.ru/" TargetMode="External"/><Relationship Id="rId5" Type="http://schemas.openxmlformats.org/officeDocument/2006/relationships/hyperlink" Target="https://zhk-evopark-sokolniki-i.cian.ru/" TargetMode="External"/><Relationship Id="rId6" Type="http://schemas.openxmlformats.org/officeDocument/2006/relationships/hyperlink" Target="https://zhk-artel-i.cian.ru/" TargetMode="External"/><Relationship Id="rId7" Type="http://schemas.openxmlformats.org/officeDocument/2006/relationships/hyperlink" Target="https://zhk-rezidenciya-sokolniki-i.cian.ru/" TargetMode="External"/><Relationship Id="rId8" Type="http://schemas.openxmlformats.org/officeDocument/2006/relationships/hyperlink" Target="https://zhk-preobrazhenskaya-ploshcad-i.cian.ru/" TargetMode="External"/><Relationship Id="rId9" Type="http://schemas.openxmlformats.org/officeDocument/2006/relationships/hyperlink" Target="https://zhk-zikkurat-preobrazhenskiy-i.cian.ru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441</v>
      </c>
      <c r="C4" s="2" t="s">
        <v>3</v>
      </c>
    </row>
    <row r="5" customFormat="false" ht="15" hidden="false" customHeight="false" outlineLevel="0" collapsed="false">
      <c r="A5" s="3" t="s">
        <v>4</v>
      </c>
      <c r="B5" s="5" t="n">
        <v>650000</v>
      </c>
      <c r="C5" s="2" t="s">
        <v>5</v>
      </c>
    </row>
    <row r="6" customFormat="false" ht="15" hidden="false" customHeight="false" outlineLevel="0" collapsed="false">
      <c r="A6" s="3" t="s">
        <v>6</v>
      </c>
      <c r="B6" s="4" t="n">
        <v>450000</v>
      </c>
      <c r="C6" s="2" t="s">
        <v>7</v>
      </c>
    </row>
    <row r="7" customFormat="false" ht="15" hidden="false" customHeight="false" outlineLevel="0" collapsed="false">
      <c r="A7" s="3" t="s">
        <v>8</v>
      </c>
      <c r="B7" s="6" t="n">
        <v>0.75</v>
      </c>
      <c r="C7" s="2" t="s">
        <v>9</v>
      </c>
    </row>
    <row r="8" customFormat="false" ht="15" hidden="false" customHeight="false" outlineLevel="0" collapsed="false">
      <c r="A8" s="3" t="s">
        <v>10</v>
      </c>
      <c r="B8" s="6" t="n">
        <v>0.85</v>
      </c>
    </row>
    <row r="9" customFormat="false" ht="15" hidden="false" customHeight="false" outlineLevel="0" collapsed="false">
      <c r="A9" s="3" t="s">
        <v>11</v>
      </c>
      <c r="B9" s="5" t="n">
        <v>200000</v>
      </c>
      <c r="C9" s="2" t="s">
        <v>12</v>
      </c>
    </row>
    <row r="10" customFormat="false" ht="15" hidden="false" customHeight="false" outlineLevel="0" collapsed="false">
      <c r="A10" s="3" t="s">
        <v>13</v>
      </c>
      <c r="B10" s="4" t="n">
        <v>250000</v>
      </c>
    </row>
    <row r="11" customFormat="false" ht="15" hidden="false" customHeight="false" outlineLevel="0" collapsed="false">
      <c r="A11" s="3" t="s">
        <v>14</v>
      </c>
      <c r="B11" s="4" t="n">
        <v>441</v>
      </c>
      <c r="C11" s="2" t="s">
        <v>15</v>
      </c>
    </row>
    <row r="12" customFormat="false" ht="15" hidden="false" customHeight="false" outlineLevel="0" collapsed="false">
      <c r="A12" s="3" t="s">
        <v>16</v>
      </c>
      <c r="B12" s="4" t="n">
        <v>9500000</v>
      </c>
      <c r="C12" s="2" t="s">
        <v>17</v>
      </c>
    </row>
    <row r="13" customFormat="false" ht="15" hidden="false" customHeight="false" outlineLevel="0" collapsed="false">
      <c r="A13" s="3" t="s">
        <v>18</v>
      </c>
      <c r="B13" s="4" t="n">
        <v>20000000</v>
      </c>
      <c r="C13" s="2" t="s">
        <v>19</v>
      </c>
    </row>
    <row r="14" customFormat="false" ht="15" hidden="false" customHeight="false" outlineLevel="0" collapsed="false">
      <c r="A14" s="3" t="s">
        <v>20</v>
      </c>
      <c r="B14" s="4" t="n">
        <v>40000000</v>
      </c>
      <c r="C14" s="2" t="s">
        <v>21</v>
      </c>
    </row>
    <row r="15" customFormat="false" ht="15" hidden="false" customHeight="false" outlineLevel="0" collapsed="false">
      <c r="A15" s="3" t="s">
        <v>22</v>
      </c>
      <c r="B15" s="6" t="n">
        <v>0.07</v>
      </c>
    </row>
    <row r="16" customFormat="false" ht="15" hidden="false" customHeight="false" outlineLevel="0" collapsed="false">
      <c r="A16" s="3" t="s">
        <v>23</v>
      </c>
      <c r="B16" s="6" t="n">
        <v>0.06</v>
      </c>
    </row>
    <row r="17" customFormat="false" ht="15" hidden="false" customHeight="false" outlineLevel="0" collapsed="false">
      <c r="A17" s="3" t="s">
        <v>24</v>
      </c>
      <c r="B17" s="6" t="n">
        <v>0.04</v>
      </c>
    </row>
    <row r="18" customFormat="false" ht="15" hidden="false" customHeight="false" outlineLevel="0" collapsed="false">
      <c r="A18" s="3" t="s">
        <v>25</v>
      </c>
      <c r="B18" s="7" t="n">
        <v>0.2</v>
      </c>
      <c r="C18" s="2" t="s">
        <v>26</v>
      </c>
    </row>
    <row r="19" customFormat="false" ht="15" hidden="false" customHeight="false" outlineLevel="0" collapsed="false">
      <c r="A19" s="3" t="s">
        <v>27</v>
      </c>
      <c r="B19" s="6" t="n">
        <v>0.09</v>
      </c>
      <c r="C19" s="2" t="s">
        <v>28</v>
      </c>
    </row>
    <row r="20" customFormat="false" ht="15" hidden="false" customHeight="false" outlineLevel="0" collapsed="false">
      <c r="A20" s="3" t="s">
        <v>29</v>
      </c>
      <c r="B20" s="7" t="n">
        <v>0.2</v>
      </c>
      <c r="C20" s="2" t="s">
        <v>30</v>
      </c>
    </row>
    <row r="21" customFormat="false" ht="15" hidden="false" customHeight="false" outlineLevel="0" collapsed="false">
      <c r="A21" s="3" t="s">
        <v>31</v>
      </c>
      <c r="B21" s="8" t="n">
        <v>2.5</v>
      </c>
      <c r="C21" s="2" t="s">
        <v>32</v>
      </c>
    </row>
    <row r="22" customFormat="false" ht="15" hidden="false" customHeight="false" outlineLevel="0" collapsed="false">
      <c r="A22" s="3" t="s">
        <v>33</v>
      </c>
      <c r="B22" s="4" t="n">
        <v>36671205</v>
      </c>
      <c r="C22" s="2" t="s">
        <v>34</v>
      </c>
    </row>
    <row r="23" customFormat="false" ht="15" hidden="false" customHeight="false" outlineLevel="0" collapsed="false">
      <c r="A23" s="3" t="s">
        <v>35</v>
      </c>
      <c r="B23" s="9" t="n">
        <v>0</v>
      </c>
      <c r="C23" s="2" t="s">
        <v>36</v>
      </c>
    </row>
    <row r="24" customFormat="false" ht="15" hidden="false" customHeight="false" outlineLevel="0" collapsed="false">
      <c r="A24" s="3" t="s">
        <v>37</v>
      </c>
      <c r="B24" s="4" t="n">
        <v>550000000</v>
      </c>
    </row>
    <row r="26" customFormat="false" ht="15" hidden="false" customHeight="false" outlineLevel="0" collapsed="false">
      <c r="A26" s="10" t="s">
        <v>38</v>
      </c>
    </row>
    <row r="27" customFormat="false" ht="15" hidden="false" customHeight="false" outlineLevel="0" collapsed="false">
      <c r="A27" s="3" t="s">
        <v>39</v>
      </c>
      <c r="B27" s="11" t="n">
        <v>2</v>
      </c>
      <c r="C27" s="11" t="n">
        <v>3</v>
      </c>
      <c r="D27" s="11" t="n">
        <v>4</v>
      </c>
      <c r="E27" s="11" t="n">
        <v>5</v>
      </c>
      <c r="F27" s="11" t="n">
        <v>6</v>
      </c>
      <c r="G27" s="11" t="n">
        <v>8</v>
      </c>
      <c r="H27" s="11" t="n">
        <v>10</v>
      </c>
    </row>
    <row r="28" customFormat="false" ht="15" hidden="false" customHeight="false" outlineLevel="0" collapsed="false">
      <c r="A28" s="3" t="s">
        <v>40</v>
      </c>
      <c r="B28" s="12" t="n">
        <f aca="false">$B$4*B27</f>
        <v>882</v>
      </c>
      <c r="C28" s="12" t="n">
        <f aca="false">$B$4*C27</f>
        <v>1323</v>
      </c>
      <c r="D28" s="12" t="n">
        <f aca="false">$B$4*D27</f>
        <v>1764</v>
      </c>
      <c r="E28" s="12" t="n">
        <f aca="false">$B$4*E27</f>
        <v>2205</v>
      </c>
      <c r="F28" s="12" t="n">
        <f aca="false">$B$4*F27</f>
        <v>2646</v>
      </c>
      <c r="G28" s="12" t="n">
        <f aca="false">$B$4*G27</f>
        <v>3528</v>
      </c>
      <c r="H28" s="12" t="n">
        <f aca="false">$B$4*H27</f>
        <v>4410</v>
      </c>
    </row>
    <row r="29" customFormat="false" ht="15" hidden="false" customHeight="false" outlineLevel="0" collapsed="false">
      <c r="A29" s="3" t="s">
        <v>41</v>
      </c>
      <c r="B29" s="12" t="n">
        <f aca="false">$B$4*(B27-1)*$B$7</f>
        <v>330.75</v>
      </c>
      <c r="C29" s="12" t="n">
        <f aca="false">$B$4*(C27-1)*$B$7</f>
        <v>661.5</v>
      </c>
      <c r="D29" s="12" t="n">
        <f aca="false">$B$4*(D27-1)*$B$7</f>
        <v>992.25</v>
      </c>
      <c r="E29" s="12" t="n">
        <f aca="false">$B$4*(E27-1)*$B$7</f>
        <v>1323</v>
      </c>
      <c r="F29" s="12" t="n">
        <f aca="false">$B$4*(F27-1)*$B$7</f>
        <v>1653.75</v>
      </c>
      <c r="G29" s="12" t="n">
        <f aca="false">$B$4*(G27-1)*$B$7</f>
        <v>2315.25</v>
      </c>
      <c r="H29" s="12" t="n">
        <f aca="false">$B$4*(H27-1)*$B$7</f>
        <v>2976.75</v>
      </c>
    </row>
    <row r="30" customFormat="false" ht="15" hidden="false" customHeight="false" outlineLevel="0" collapsed="false">
      <c r="A30" s="3" t="s">
        <v>42</v>
      </c>
      <c r="B30" s="12" t="n">
        <f aca="false">$B$4*$B$8</f>
        <v>374.85</v>
      </c>
      <c r="C30" s="12" t="n">
        <f aca="false">$B$4*$B$8</f>
        <v>374.85</v>
      </c>
      <c r="D30" s="12" t="n">
        <f aca="false">$B$4*$B$8</f>
        <v>374.85</v>
      </c>
      <c r="E30" s="12" t="n">
        <f aca="false">$B$4*$B$8</f>
        <v>374.85</v>
      </c>
      <c r="F30" s="12" t="n">
        <f aca="false">$B$4*$B$8</f>
        <v>374.85</v>
      </c>
      <c r="G30" s="12" t="n">
        <f aca="false">$B$4*$B$8</f>
        <v>374.85</v>
      </c>
      <c r="H30" s="12" t="n">
        <f aca="false">$B$4*$B$8</f>
        <v>374.85</v>
      </c>
    </row>
    <row r="31" customFormat="false" ht="15" hidden="false" customHeight="false" outlineLevel="0" collapsed="false">
      <c r="A31" s="3" t="s">
        <v>43</v>
      </c>
      <c r="B31" s="12" t="n">
        <f aca="false">B29*$B$5+B30*$B$6</f>
        <v>383670000</v>
      </c>
      <c r="C31" s="12" t="n">
        <f aca="false">C29*$B$5+C30*$B$6</f>
        <v>598657500</v>
      </c>
      <c r="D31" s="12" t="n">
        <f aca="false">D29*$B$5+D30*$B$6</f>
        <v>813645000</v>
      </c>
      <c r="E31" s="12" t="n">
        <f aca="false">E29*$B$5+E30*$B$6</f>
        <v>1028632500</v>
      </c>
      <c r="F31" s="12" t="n">
        <f aca="false">F29*$B$5+F30*$B$6</f>
        <v>1243620000</v>
      </c>
      <c r="G31" s="12" t="n">
        <f aca="false">G29*$B$5+G30*$B$6</f>
        <v>1673595000</v>
      </c>
      <c r="H31" s="12" t="n">
        <f aca="false">H29*$B$5+H30*$B$6</f>
        <v>2103570000</v>
      </c>
    </row>
    <row r="32" customFormat="false" ht="15" hidden="false" customHeight="false" outlineLevel="0" collapsed="false">
      <c r="A32" s="3" t="s">
        <v>44</v>
      </c>
      <c r="B32" s="12" t="n">
        <f aca="false">B28*$B$9+$B$11*$B$10</f>
        <v>286650000</v>
      </c>
      <c r="C32" s="12" t="n">
        <f aca="false">C28*$B$9+$B$11*$B$10</f>
        <v>374850000</v>
      </c>
      <c r="D32" s="12" t="n">
        <f aca="false">D28*$B$9+$B$11*$B$10</f>
        <v>463050000</v>
      </c>
      <c r="E32" s="12" t="n">
        <f aca="false">E28*$B$9+$B$11*$B$10</f>
        <v>551250000</v>
      </c>
      <c r="F32" s="12" t="n">
        <f aca="false">F28*$B$9+$B$11*$B$10</f>
        <v>639450000</v>
      </c>
      <c r="G32" s="12" t="n">
        <f aca="false">G28*$B$9+$B$11*$B$10</f>
        <v>815850000</v>
      </c>
      <c r="H32" s="12" t="n">
        <f aca="false">H28*$B$9+$B$11*$B$10</f>
        <v>992250000</v>
      </c>
    </row>
    <row r="33" customFormat="false" ht="15" hidden="false" customHeight="false" outlineLevel="0" collapsed="false">
      <c r="A33" s="3" t="s">
        <v>45</v>
      </c>
      <c r="B33" s="12" t="n">
        <f aca="false">B32*($B$15+$B$16)</f>
        <v>37264500</v>
      </c>
      <c r="C33" s="12" t="n">
        <f aca="false">C32*($B$15+$B$16)</f>
        <v>48730500</v>
      </c>
      <c r="D33" s="12" t="n">
        <f aca="false">D32*($B$15+$B$16)</f>
        <v>60196500</v>
      </c>
      <c r="E33" s="12" t="n">
        <f aca="false">E32*($B$15+$B$16)</f>
        <v>71662500</v>
      </c>
      <c r="F33" s="12" t="n">
        <f aca="false">F32*($B$15+$B$16)</f>
        <v>83128500</v>
      </c>
      <c r="G33" s="12" t="n">
        <f aca="false">G32*($B$15+$B$16)</f>
        <v>106060500</v>
      </c>
      <c r="H33" s="12" t="n">
        <f aca="false">H32*($B$15+$B$16)</f>
        <v>128992500</v>
      </c>
    </row>
    <row r="34" customFormat="false" ht="15" hidden="false" customHeight="false" outlineLevel="0" collapsed="false">
      <c r="A34" s="3" t="s">
        <v>46</v>
      </c>
      <c r="B34" s="12" t="n">
        <f aca="false">$B$12+$B$13+$B$14</f>
        <v>69500000</v>
      </c>
      <c r="C34" s="12" t="n">
        <f aca="false">$B$12+$B$13+$B$14</f>
        <v>69500000</v>
      </c>
      <c r="D34" s="12" t="n">
        <f aca="false">$B$12+$B$13+$B$14</f>
        <v>69500000</v>
      </c>
      <c r="E34" s="12" t="n">
        <f aca="false">$B$12+$B$13+$B$14</f>
        <v>69500000</v>
      </c>
      <c r="F34" s="12" t="n">
        <f aca="false">$B$12+$B$13+$B$14</f>
        <v>69500000</v>
      </c>
      <c r="G34" s="12" t="n">
        <f aca="false">$B$12+$B$13+$B$14</f>
        <v>69500000</v>
      </c>
      <c r="H34" s="12" t="n">
        <f aca="false">$B$12+$B$13+$B$14</f>
        <v>69500000</v>
      </c>
    </row>
    <row r="35" customFormat="false" ht="15" hidden="false" customHeight="false" outlineLevel="0" collapsed="false">
      <c r="A35" s="3" t="s">
        <v>47</v>
      </c>
      <c r="B35" s="12" t="n">
        <f aca="false">(B32+B33)*$B$19</f>
        <v>29152305</v>
      </c>
      <c r="C35" s="12" t="n">
        <f aca="false">(C32+C33)*$B$19</f>
        <v>38122245</v>
      </c>
      <c r="D35" s="12" t="n">
        <f aca="false">(D32+D33)*$B$19</f>
        <v>47092185</v>
      </c>
      <c r="E35" s="12" t="n">
        <f aca="false">(E32+E33)*$B$19</f>
        <v>56062125</v>
      </c>
      <c r="F35" s="12" t="n">
        <f aca="false">(F32+F33)*$B$19</f>
        <v>65032065</v>
      </c>
      <c r="G35" s="12" t="n">
        <f aca="false">(G32+G33)*$B$19</f>
        <v>82971945</v>
      </c>
      <c r="H35" s="12" t="n">
        <f aca="false">(H32+H33)*$B$19</f>
        <v>100911825</v>
      </c>
    </row>
    <row r="36" customFormat="false" ht="15" hidden="false" customHeight="false" outlineLevel="0" collapsed="false">
      <c r="A36" s="3" t="s">
        <v>48</v>
      </c>
      <c r="B36" s="12" t="n">
        <f aca="false">B31*$B$17</f>
        <v>15346800</v>
      </c>
      <c r="C36" s="12" t="n">
        <f aca="false">C31*$B$17</f>
        <v>23946300</v>
      </c>
      <c r="D36" s="12" t="n">
        <f aca="false">D31*$B$17</f>
        <v>32545800</v>
      </c>
      <c r="E36" s="12" t="n">
        <f aca="false">E31*$B$17</f>
        <v>41145300</v>
      </c>
      <c r="F36" s="12" t="n">
        <f aca="false">F31*$B$17</f>
        <v>49744800</v>
      </c>
      <c r="G36" s="12" t="n">
        <f aca="false">G31*$B$17</f>
        <v>66943800</v>
      </c>
      <c r="H36" s="12" t="n">
        <f aca="false">H31*$B$17</f>
        <v>84142800</v>
      </c>
    </row>
    <row r="37" customFormat="false" ht="15" hidden="false" customHeight="false" outlineLevel="0" collapsed="false">
      <c r="A37" s="3" t="s">
        <v>49</v>
      </c>
      <c r="B37" s="12" t="n">
        <f aca="false">B31*$B$18</f>
        <v>76734000</v>
      </c>
      <c r="C37" s="12" t="n">
        <f aca="false">C31*$B$18</f>
        <v>119731500</v>
      </c>
      <c r="D37" s="12" t="n">
        <f aca="false">D31*$B$18</f>
        <v>162729000</v>
      </c>
      <c r="E37" s="12" t="n">
        <f aca="false">E31*$B$18</f>
        <v>205726500</v>
      </c>
      <c r="F37" s="12" t="n">
        <f aca="false">F31*$B$18</f>
        <v>248724000</v>
      </c>
      <c r="G37" s="12" t="n">
        <f aca="false">G31*$B$18</f>
        <v>334719000</v>
      </c>
      <c r="H37" s="12" t="n">
        <f aca="false">H31*$B$18</f>
        <v>420714000</v>
      </c>
    </row>
    <row r="38" customFormat="false" ht="15" hidden="false" customHeight="false" outlineLevel="0" collapsed="false">
      <c r="A38" s="10" t="s">
        <v>50</v>
      </c>
      <c r="B38" s="13" t="n">
        <f aca="false">B31-SUM(B32:B37)</f>
        <v>-130977605</v>
      </c>
      <c r="C38" s="13" t="n">
        <f aca="false">C31-SUM(C32:C37)</f>
        <v>-76223045</v>
      </c>
      <c r="D38" s="13" t="n">
        <f aca="false">D31-SUM(D32:D37)</f>
        <v>-21468485</v>
      </c>
      <c r="E38" s="13" t="n">
        <f aca="false">E31-SUM(E32:E37)</f>
        <v>33286075</v>
      </c>
      <c r="F38" s="13" t="n">
        <f aca="false">F31-SUM(F32:F37)</f>
        <v>88040635</v>
      </c>
      <c r="G38" s="13" t="n">
        <f aca="false">G31-SUM(G32:G37)</f>
        <v>197549755</v>
      </c>
      <c r="H38" s="13" t="n">
        <f aca="false">H31-SUM(H32:H37)</f>
        <v>307058875</v>
      </c>
    </row>
    <row r="39" customFormat="false" ht="15" hidden="false" customHeight="false" outlineLevel="0" collapsed="false">
      <c r="A39" s="3" t="s">
        <v>51</v>
      </c>
      <c r="B39" s="12" t="n">
        <f aca="false">B38/(1+$B$20)^$B$21</f>
        <v>-83031699.9843767</v>
      </c>
      <c r="C39" s="12" t="n">
        <f aca="false">C38/(1+$B$20)^$B$21</f>
        <v>-48320695.7734159</v>
      </c>
      <c r="D39" s="12" t="n">
        <f aca="false">D38/(1+$B$20)^$B$21</f>
        <v>-13609691.5624552</v>
      </c>
      <c r="E39" s="12" t="n">
        <f aca="false">E38/(1+$B$20)^$B$21</f>
        <v>21101312.6485055</v>
      </c>
      <c r="F39" s="12" t="n">
        <f aca="false">F38/(1+$B$20)^$B$21</f>
        <v>55812316.8594663</v>
      </c>
      <c r="G39" s="12" t="n">
        <f aca="false">G38/(1+$B$20)^$B$21</f>
        <v>125234325.281388</v>
      </c>
      <c r="H39" s="12" t="n">
        <f aca="false">H38/(1+$B$20)^$B$21</f>
        <v>194656333.703309</v>
      </c>
    </row>
    <row r="40" customFormat="false" ht="15" hidden="false" customHeight="false" outlineLevel="0" collapsed="false">
      <c r="A40" s="3" t="s">
        <v>52</v>
      </c>
      <c r="B40" s="12" t="n">
        <f aca="false">IF($B$23=0,0,$B$22*(1-(1+$B$20)^(-$B$23))/$B$20)</f>
        <v>0</v>
      </c>
      <c r="C40" s="12" t="n">
        <f aca="false">IF($B$23=0,0,$B$22*(1-(1+$B$20)^(-$B$23))/$B$20)</f>
        <v>0</v>
      </c>
      <c r="D40" s="12" t="n">
        <f aca="false">IF($B$23=0,0,$B$22*(1-(1+$B$20)^(-$B$23))/$B$20)</f>
        <v>0</v>
      </c>
      <c r="E40" s="12" t="n">
        <f aca="false">IF($B$23=0,0,$B$22*(1-(1+$B$20)^(-$B$23))/$B$20)</f>
        <v>0</v>
      </c>
      <c r="F40" s="12" t="n">
        <f aca="false">IF($B$23=0,0,$B$22*(1-(1+$B$20)^(-$B$23))/$B$20)</f>
        <v>0</v>
      </c>
      <c r="G40" s="12" t="n">
        <f aca="false">IF($B$23=0,0,$B$22*(1-(1+$B$20)^(-$B$23))/$B$20)</f>
        <v>0</v>
      </c>
      <c r="H40" s="12" t="n">
        <f aca="false">IF($B$23=0,0,$B$22*(1-(1+$B$20)^(-$B$23))/$B$20)</f>
        <v>0</v>
      </c>
    </row>
    <row r="41" customFormat="false" ht="15" hidden="false" customHeight="false" outlineLevel="0" collapsed="false">
      <c r="A41" s="10" t="s">
        <v>53</v>
      </c>
      <c r="B41" s="14" t="n">
        <f aca="false">(B39+B40)/1000000</f>
        <v>-83.0316999843767</v>
      </c>
      <c r="C41" s="14" t="n">
        <f aca="false">(C39+C40)/1000000</f>
        <v>-48.3206957734159</v>
      </c>
      <c r="D41" s="14" t="n">
        <f aca="false">(D39+D40)/1000000</f>
        <v>-13.6096915624552</v>
      </c>
      <c r="E41" s="14" t="n">
        <f aca="false">(E39+E40)/1000000</f>
        <v>21.1013126485055</v>
      </c>
      <c r="F41" s="14" t="n">
        <f aca="false">(F39+F40)/1000000</f>
        <v>55.8123168594663</v>
      </c>
      <c r="G41" s="14" t="n">
        <f aca="false">(G39+G40)/1000000</f>
        <v>125.234325281388</v>
      </c>
      <c r="H41" s="14" t="n">
        <f aca="false">(H39+H40)/1000000</f>
        <v>194.656333703309</v>
      </c>
    </row>
    <row r="42" customFormat="false" ht="15" hidden="false" customHeight="false" outlineLevel="0" collapsed="false">
      <c r="A42" s="3" t="s">
        <v>54</v>
      </c>
      <c r="B42" s="15" t="str">
        <f aca="false">IF(B41&lt;=0,"—",$B$24/1000000/B41)</f>
        <v>—</v>
      </c>
      <c r="C42" s="15" t="str">
        <f aca="false">IF(C41&lt;=0,"—",$B$24/1000000/C41)</f>
        <v>—</v>
      </c>
      <c r="D42" s="15" t="str">
        <f aca="false">IF(D41&lt;=0,"—",$B$24/1000000/D41)</f>
        <v>—</v>
      </c>
      <c r="E42" s="15" t="n">
        <f aca="false">IF(E41&lt;=0,"—",$B$24/1000000/E41)</f>
        <v>26.0647292024723</v>
      </c>
      <c r="F42" s="15" t="n">
        <f aca="false">IF(F41&lt;=0,"—",$B$24/1000000/F41)</f>
        <v>9.85445562822421</v>
      </c>
      <c r="G42" s="15" t="n">
        <f aca="false">IF(G41&lt;=0,"—",$B$24/1000000/G41)</f>
        <v>4.39176718335177</v>
      </c>
      <c r="H42" s="15" t="n">
        <f aca="false">IF(H41&lt;=0,"—",$B$24/1000000/H41)</f>
        <v>2.82549244371518</v>
      </c>
    </row>
    <row r="43" customFormat="false" ht="15" hidden="false" customHeight="false" outlineLevel="0" collapsed="false">
      <c r="A43" s="3" t="s">
        <v>55</v>
      </c>
      <c r="B43" s="12" t="n">
        <f aca="false">B38/(B28+$B$11)</f>
        <v>-99000.4572940287</v>
      </c>
      <c r="C43" s="12" t="n">
        <f aca="false">C38/(C28+$B$11)</f>
        <v>-43210.3429705215</v>
      </c>
      <c r="D43" s="12" t="n">
        <f aca="false">D38/(D28+$B$11)</f>
        <v>-9736.27437641723</v>
      </c>
      <c r="E43" s="12" t="n">
        <f aca="false">E38/(E28+$B$11)</f>
        <v>12579.7713529856</v>
      </c>
      <c r="F43" s="12" t="n">
        <f aca="false">F38/(F28+$B$11)</f>
        <v>28519.8040168448</v>
      </c>
      <c r="G43" s="12" t="n">
        <f aca="false">G38/(G28+$B$11)</f>
        <v>49773.1809019904</v>
      </c>
      <c r="H43" s="12" t="n">
        <f aca="false">H38/(H28+$B$11)</f>
        <v>63298.0571016285</v>
      </c>
    </row>
    <row r="45" customFormat="false" ht="15" hidden="false" customHeight="false" outlineLevel="0" collapsed="false">
      <c r="A45" s="10" t="s">
        <v>56</v>
      </c>
      <c r="B45" s="16" t="n">
        <f aca="false">10+($B$24/1000000-H41)/((H41-G41)/2)</f>
        <v>20.2372050124808</v>
      </c>
      <c r="C45" s="2" t="s">
        <v>57</v>
      </c>
    </row>
    <row r="46" customFormat="false" ht="15" hidden="false" customHeight="false" outlineLevel="0" collapsed="false">
      <c r="A46" s="3" t="s">
        <v>58</v>
      </c>
      <c r="B46" s="17" t="n">
        <v>383</v>
      </c>
      <c r="C46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0"/>
  </cols>
  <sheetData>
    <row r="2" customFormat="false" ht="15" hidden="false" customHeight="false" outlineLevel="0" collapsed="false">
      <c r="A2" s="3" t="s">
        <v>60</v>
      </c>
      <c r="B2" s="18" t="n">
        <v>0.0484</v>
      </c>
      <c r="C2" s="2" t="s">
        <v>61</v>
      </c>
    </row>
    <row r="3" customFormat="false" ht="15" hidden="false" customHeight="false" outlineLevel="0" collapsed="false">
      <c r="A3" s="3" t="s">
        <v>62</v>
      </c>
      <c r="B3" s="8" t="n">
        <v>3.9</v>
      </c>
      <c r="C3" s="2" t="s">
        <v>63</v>
      </c>
    </row>
    <row r="4" customFormat="false" ht="15" hidden="false" customHeight="false" outlineLevel="0" collapsed="false">
      <c r="A4" s="3" t="s">
        <v>64</v>
      </c>
      <c r="B4" s="8" t="n">
        <v>1.4</v>
      </c>
      <c r="C4" s="2" t="s">
        <v>65</v>
      </c>
    </row>
    <row r="5" customFormat="false" ht="15" hidden="false" customHeight="false" outlineLevel="0" collapsed="false">
      <c r="A5" s="3" t="s">
        <v>66</v>
      </c>
      <c r="B5" s="8" t="n">
        <v>12</v>
      </c>
      <c r="C5" s="2" t="s">
        <v>67</v>
      </c>
    </row>
    <row r="6" customFormat="false" ht="15" hidden="false" customHeight="false" outlineLevel="0" collapsed="false">
      <c r="A6" s="3" t="s">
        <v>68</v>
      </c>
      <c r="B6" s="19" t="n">
        <f aca="false">B2*B3*1000</f>
        <v>188.76</v>
      </c>
    </row>
    <row r="7" customFormat="false" ht="15" hidden="false" customHeight="false" outlineLevel="0" collapsed="false">
      <c r="A7" s="3" t="s">
        <v>69</v>
      </c>
      <c r="B7" s="19" t="n">
        <f aca="false">B2*B4*1000</f>
        <v>67.76</v>
      </c>
    </row>
    <row r="8" customFormat="false" ht="15" hidden="false" customHeight="false" outlineLevel="0" collapsed="false">
      <c r="A8" s="3" t="s">
        <v>70</v>
      </c>
      <c r="B8" s="19" t="n">
        <f aca="false">B2*B5*1000</f>
        <v>580.8</v>
      </c>
    </row>
    <row r="9" customFormat="false" ht="15" hidden="false" customHeight="false" outlineLevel="0" collapsed="false">
      <c r="A9" s="3" t="s">
        <v>71</v>
      </c>
      <c r="B9" s="20" t="n">
        <f aca="false">'Модель девелопера'!$B$24/1000000000/B2</f>
        <v>11.3636363636364</v>
      </c>
    </row>
    <row r="10" customFormat="false" ht="15" hidden="false" customHeight="false" outlineLevel="0" collapsed="false">
      <c r="A10" s="3" t="s">
        <v>72</v>
      </c>
      <c r="B10" s="21" t="n">
        <v>0.125</v>
      </c>
      <c r="C10" s="2" t="s">
        <v>73</v>
      </c>
    </row>
    <row r="11" customFormat="false" ht="15" hidden="false" customHeight="false" outlineLevel="0" collapsed="false">
      <c r="A11" s="3" t="s">
        <v>74</v>
      </c>
      <c r="B11" s="21" t="n">
        <v>0.333333333333333</v>
      </c>
      <c r="C11" s="2" t="s">
        <v>75</v>
      </c>
    </row>
    <row r="12" customFormat="false" ht="15" hidden="false" customHeight="false" outlineLevel="0" collapsed="false">
      <c r="A12" s="3" t="s">
        <v>76</v>
      </c>
      <c r="B12" s="22" t="n">
        <f aca="false">('Модель девелопера'!F32+'Модель девелопера'!F33+'Модель девелопера'!F34+'Модель девелопера'!F35)/1000000</f>
        <v>857.110565</v>
      </c>
      <c r="C12" s="2" t="s">
        <v>77</v>
      </c>
    </row>
    <row r="13" customFormat="false" ht="15" hidden="false" customHeight="false" outlineLevel="0" collapsed="false">
      <c r="A13" s="3" t="s">
        <v>78</v>
      </c>
      <c r="B13" s="19" t="n">
        <f aca="false">B12*B10/(1-B10)</f>
        <v>122.444366428571</v>
      </c>
    </row>
    <row r="14" customFormat="false" ht="15" hidden="false" customHeight="false" outlineLevel="0" collapsed="false">
      <c r="A14" s="3" t="s">
        <v>79</v>
      </c>
      <c r="B14" s="19" t="n">
        <f aca="false">B12*B11/(1-B11)</f>
        <v>428.5552825</v>
      </c>
    </row>
    <row r="15" customFormat="false" ht="15" hidden="false" customHeight="false" outlineLevel="0" collapsed="false">
      <c r="A15" s="3" t="s">
        <v>80</v>
      </c>
      <c r="B15" s="4" t="n">
        <v>50781</v>
      </c>
      <c r="C15" s="2" t="s">
        <v>81</v>
      </c>
    </row>
    <row r="16" customFormat="false" ht="15" hidden="false" customHeight="false" outlineLevel="0" collapsed="false">
      <c r="A16" s="3" t="s">
        <v>82</v>
      </c>
      <c r="B16" s="22" t="n">
        <f aca="false">B15*('Модель девелопера'!F28+'Модель девелопера'!B11)/1000000</f>
        <v>156.760947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31.5" hidden="false" customHeight="true" outlineLevel="0" collapsed="false">
      <c r="A1" s="23" t="s">
        <v>83</v>
      </c>
      <c r="B1" s="23" t="s">
        <v>84</v>
      </c>
      <c r="C1" s="23" t="s">
        <v>85</v>
      </c>
      <c r="D1" s="23" t="s">
        <v>86</v>
      </c>
      <c r="E1" s="23" t="s">
        <v>87</v>
      </c>
      <c r="F1" s="23" t="s">
        <v>88</v>
      </c>
      <c r="G1" s="23" t="s">
        <v>89</v>
      </c>
      <c r="H1" s="23" t="s">
        <v>90</v>
      </c>
      <c r="I1" s="23" t="s">
        <v>91</v>
      </c>
      <c r="J1" s="23" t="s">
        <v>92</v>
      </c>
    </row>
    <row r="2" customFormat="false" ht="15" hidden="false" customHeight="false" outlineLevel="0" collapsed="false">
      <c r="A2" s="24" t="s">
        <v>93</v>
      </c>
      <c r="B2" s="25" t="s">
        <v>94</v>
      </c>
      <c r="C2" s="25" t="s">
        <v>95</v>
      </c>
      <c r="D2" s="25" t="n">
        <v>11.94</v>
      </c>
      <c r="E2" s="25" t="n">
        <v>750</v>
      </c>
      <c r="F2" s="25" t="n">
        <v>80</v>
      </c>
      <c r="G2" s="25" t="n">
        <v>3000</v>
      </c>
      <c r="H2" s="25" t="n">
        <v>26667</v>
      </c>
      <c r="I2" s="25" t="s">
        <v>96</v>
      </c>
      <c r="J2" s="25" t="s">
        <v>97</v>
      </c>
    </row>
    <row r="3" customFormat="false" ht="15" hidden="false" customHeight="false" outlineLevel="0" collapsed="false">
      <c r="A3" s="24" t="s">
        <v>98</v>
      </c>
      <c r="B3" s="25" t="s">
        <v>99</v>
      </c>
      <c r="C3" s="25" t="s">
        <v>100</v>
      </c>
      <c r="D3" s="25" t="n">
        <v>5.1</v>
      </c>
      <c r="E3" s="25" t="n">
        <v>4000</v>
      </c>
      <c r="F3" s="25" t="n">
        <v>1000</v>
      </c>
      <c r="G3" s="25" t="n">
        <v>27300</v>
      </c>
      <c r="H3" s="25" t="n">
        <v>36630</v>
      </c>
      <c r="I3" s="25" t="s">
        <v>96</v>
      </c>
      <c r="J3" s="25" t="s">
        <v>101</v>
      </c>
    </row>
    <row r="4" customFormat="false" ht="15" hidden="false" customHeight="false" outlineLevel="0" collapsed="false">
      <c r="A4" s="24" t="s">
        <v>102</v>
      </c>
      <c r="B4" s="25" t="s">
        <v>103</v>
      </c>
      <c r="C4" s="25" t="s">
        <v>104</v>
      </c>
      <c r="D4" s="25" t="n">
        <v>5.55</v>
      </c>
      <c r="E4" s="25" t="n">
        <v>9000</v>
      </c>
      <c r="F4" s="25" t="n">
        <v>1850</v>
      </c>
      <c r="G4" s="25" t="n">
        <v>48900</v>
      </c>
      <c r="H4" s="25" t="n">
        <v>37832</v>
      </c>
      <c r="I4" s="25" t="s">
        <v>96</v>
      </c>
      <c r="J4" s="25" t="s">
        <v>105</v>
      </c>
    </row>
    <row r="5" customFormat="false" ht="15" hidden="false" customHeight="false" outlineLevel="0" collapsed="false">
      <c r="A5" s="24" t="s">
        <v>106</v>
      </c>
      <c r="B5" s="25" t="s">
        <v>107</v>
      </c>
      <c r="C5" s="25" t="s">
        <v>108</v>
      </c>
      <c r="D5" s="25" t="n">
        <v>10.48</v>
      </c>
      <c r="E5" s="25" t="n">
        <v>21184</v>
      </c>
      <c r="F5" s="25" t="n">
        <v>1500</v>
      </c>
      <c r="G5" s="25" t="n">
        <v>33140</v>
      </c>
      <c r="H5" s="25" t="n">
        <v>45263</v>
      </c>
      <c r="I5" s="25" t="s">
        <v>96</v>
      </c>
      <c r="J5" s="25" t="s">
        <v>109</v>
      </c>
    </row>
    <row r="6" customFormat="false" ht="15" hidden="false" customHeight="false" outlineLevel="0" collapsed="false">
      <c r="A6" s="24" t="s">
        <v>110</v>
      </c>
      <c r="B6" s="25" t="s">
        <v>111</v>
      </c>
      <c r="C6" s="25" t="s">
        <v>112</v>
      </c>
      <c r="D6" s="25" t="n">
        <v>6.1</v>
      </c>
      <c r="E6" s="25" t="n">
        <v>10000</v>
      </c>
      <c r="F6" s="25" t="n">
        <v>650</v>
      </c>
      <c r="G6" s="25" t="n">
        <v>12800</v>
      </c>
      <c r="H6" s="25" t="n">
        <v>50781</v>
      </c>
      <c r="I6" s="25" t="s">
        <v>113</v>
      </c>
      <c r="J6" s="25" t="s">
        <v>114</v>
      </c>
    </row>
    <row r="7" customFormat="false" ht="15" hidden="false" customHeight="false" outlineLevel="0" collapsed="false">
      <c r="A7" s="24" t="s">
        <v>115</v>
      </c>
      <c r="B7" s="25" t="s">
        <v>99</v>
      </c>
      <c r="C7" s="25" t="s">
        <v>116</v>
      </c>
      <c r="D7" s="25" t="n">
        <v>4.94</v>
      </c>
      <c r="E7" s="25" t="n">
        <v>2000</v>
      </c>
      <c r="F7" s="25" t="n">
        <v>185</v>
      </c>
      <c r="G7" s="25" t="n">
        <v>3000</v>
      </c>
      <c r="H7" s="25" t="n">
        <v>61560</v>
      </c>
      <c r="I7" s="25" t="s">
        <v>96</v>
      </c>
      <c r="J7" s="25" t="s">
        <v>117</v>
      </c>
    </row>
    <row r="8" customFormat="false" ht="15" hidden="false" customHeight="false" outlineLevel="0" collapsed="false">
      <c r="A8" s="24" t="s">
        <v>118</v>
      </c>
      <c r="B8" s="25" t="s">
        <v>119</v>
      </c>
      <c r="C8" s="25" t="s">
        <v>120</v>
      </c>
      <c r="D8" s="25" t="n">
        <v>5.13</v>
      </c>
      <c r="E8" s="25" t="n">
        <v>1600</v>
      </c>
      <c r="F8" s="25" t="n">
        <v>250</v>
      </c>
      <c r="G8" s="25" t="n">
        <v>4000</v>
      </c>
      <c r="H8" s="25" t="n">
        <v>62500</v>
      </c>
      <c r="I8" s="25" t="s">
        <v>96</v>
      </c>
      <c r="J8" s="25" t="s">
        <v>121</v>
      </c>
    </row>
    <row r="9" customFormat="false" ht="15" hidden="false" customHeight="false" outlineLevel="0" collapsed="false">
      <c r="A9" s="24" t="s">
        <v>122</v>
      </c>
      <c r="B9" s="25" t="s">
        <v>123</v>
      </c>
      <c r="C9" s="25" t="s">
        <v>124</v>
      </c>
      <c r="D9" s="25" t="n">
        <v>6.67</v>
      </c>
      <c r="E9" s="25" t="n">
        <v>800</v>
      </c>
      <c r="F9" s="25" t="n">
        <v>77</v>
      </c>
      <c r="G9" s="25" t="n">
        <v>1146</v>
      </c>
      <c r="H9" s="25" t="n">
        <v>67190</v>
      </c>
      <c r="I9" s="25" t="s">
        <v>96</v>
      </c>
      <c r="J9" s="25" t="s">
        <v>125</v>
      </c>
    </row>
    <row r="10" customFormat="false" ht="15" hidden="false" customHeight="false" outlineLevel="0" collapsed="false">
      <c r="A10" s="24" t="s">
        <v>126</v>
      </c>
      <c r="B10" s="25" t="s">
        <v>127</v>
      </c>
      <c r="C10" s="25" t="s">
        <v>128</v>
      </c>
      <c r="D10" s="25" t="n">
        <v>7.1</v>
      </c>
      <c r="E10" s="25" t="n">
        <v>5600</v>
      </c>
      <c r="F10" s="25" t="n">
        <v>800</v>
      </c>
      <c r="G10" s="25" t="n">
        <v>6779</v>
      </c>
      <c r="H10" s="25" t="n">
        <v>118012</v>
      </c>
      <c r="I10" s="25" t="s">
        <v>96</v>
      </c>
      <c r="J10" s="25" t="s">
        <v>129</v>
      </c>
    </row>
  </sheetData>
  <hyperlinks>
    <hyperlink ref="A2" r:id="rId1" display="333706127"/>
    <hyperlink ref="A3" r:id="rId2" display="328295784"/>
    <hyperlink ref="A4" r:id="rId3" display="332186074"/>
    <hyperlink ref="A5" r:id="rId4" display="334643903"/>
    <hyperlink ref="A6" r:id="rId5" display="332610492"/>
    <hyperlink ref="A7" r:id="rId6" display="334567721"/>
    <hyperlink ref="A8" r:id="rId7" display="335014595"/>
    <hyperlink ref="A9" r:id="rId8" display="285429175"/>
    <hyperlink ref="A10" r:id="rId9" display="33449546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23" t="s">
        <v>130</v>
      </c>
      <c r="B1" s="23" t="s">
        <v>131</v>
      </c>
      <c r="C1" s="23" t="s">
        <v>132</v>
      </c>
      <c r="D1" s="23" t="s">
        <v>133</v>
      </c>
      <c r="E1" s="23" t="s">
        <v>134</v>
      </c>
      <c r="F1" s="23" t="s">
        <v>135</v>
      </c>
      <c r="G1" s="23" t="s">
        <v>136</v>
      </c>
      <c r="H1" s="23" t="s">
        <v>137</v>
      </c>
      <c r="I1" s="23" t="s">
        <v>138</v>
      </c>
      <c r="J1" s="23" t="s">
        <v>139</v>
      </c>
    </row>
    <row r="2" customFormat="false" ht="15" hidden="false" customHeight="false" outlineLevel="0" collapsed="false">
      <c r="A2" s="24" t="s">
        <v>140</v>
      </c>
      <c r="B2" s="25" t="n">
        <v>0.6</v>
      </c>
      <c r="C2" s="25" t="s">
        <v>141</v>
      </c>
      <c r="D2" s="25" t="n">
        <v>2021</v>
      </c>
      <c r="E2" s="25" t="n">
        <v>16</v>
      </c>
      <c r="F2" s="25" t="n">
        <v>86</v>
      </c>
      <c r="G2" s="25" t="n">
        <v>627449</v>
      </c>
      <c r="H2" s="25" t="n">
        <v>465057</v>
      </c>
      <c r="I2" s="25" t="n">
        <v>881827</v>
      </c>
      <c r="J2" s="25" t="n">
        <v>0</v>
      </c>
    </row>
    <row r="3" customFormat="false" ht="15" hidden="false" customHeight="false" outlineLevel="0" collapsed="false">
      <c r="A3" s="24" t="s">
        <v>142</v>
      </c>
      <c r="B3" s="25" t="n">
        <v>0.8</v>
      </c>
      <c r="C3" s="25" t="s">
        <v>143</v>
      </c>
      <c r="D3" s="25" t="n">
        <v>2027</v>
      </c>
      <c r="E3" s="25" t="n">
        <v>28</v>
      </c>
      <c r="F3" s="25" t="n">
        <v>110</v>
      </c>
      <c r="G3" s="25" t="n">
        <v>554128</v>
      </c>
      <c r="H3" s="25" t="n">
        <v>427350</v>
      </c>
      <c r="I3" s="25" t="n">
        <v>914591</v>
      </c>
      <c r="J3" s="25" t="n">
        <v>0</v>
      </c>
    </row>
    <row r="4" customFormat="false" ht="15" hidden="false" customHeight="false" outlineLevel="0" collapsed="false">
      <c r="A4" s="24" t="s">
        <v>144</v>
      </c>
      <c r="B4" s="25" t="n">
        <v>0.93</v>
      </c>
      <c r="C4" s="25" t="s">
        <v>141</v>
      </c>
      <c r="D4" s="25" t="n">
        <v>2029</v>
      </c>
      <c r="E4" s="25" t="n">
        <v>22</v>
      </c>
      <c r="F4" s="25" t="n">
        <v>104</v>
      </c>
      <c r="G4" s="25" t="n">
        <v>641900</v>
      </c>
      <c r="H4" s="25" t="n">
        <v>465587</v>
      </c>
      <c r="I4" s="25" t="n">
        <v>900200</v>
      </c>
      <c r="J4" s="25" t="n">
        <v>0</v>
      </c>
    </row>
    <row r="5" customFormat="false" ht="15" hidden="false" customHeight="false" outlineLevel="0" collapsed="false">
      <c r="A5" s="24" t="s">
        <v>145</v>
      </c>
      <c r="B5" s="25" t="n">
        <v>1.66</v>
      </c>
      <c r="C5" s="25" t="s">
        <v>146</v>
      </c>
      <c r="D5" s="25" t="n">
        <v>2029</v>
      </c>
      <c r="E5" s="25" t="n">
        <v>49</v>
      </c>
      <c r="F5" s="25" t="n">
        <v>106</v>
      </c>
      <c r="G5" s="25" t="n">
        <v>526677</v>
      </c>
      <c r="H5" s="25" t="n">
        <v>390625</v>
      </c>
      <c r="I5" s="25" t="n">
        <v>649026</v>
      </c>
      <c r="J5" s="25" t="n">
        <v>0</v>
      </c>
    </row>
    <row r="6" customFormat="false" ht="22.35" hidden="false" customHeight="false" outlineLevel="0" collapsed="false">
      <c r="A6" s="24" t="s">
        <v>147</v>
      </c>
      <c r="B6" s="25" t="n">
        <v>1.67</v>
      </c>
      <c r="C6" s="25" t="s">
        <v>148</v>
      </c>
      <c r="D6" s="25" t="n">
        <v>2026</v>
      </c>
      <c r="E6" s="25" t="n">
        <v>21</v>
      </c>
      <c r="F6" s="25" t="n">
        <v>66</v>
      </c>
      <c r="G6" s="25" t="n">
        <v>397450</v>
      </c>
      <c r="H6" s="25" t="n">
        <v>339796</v>
      </c>
      <c r="I6" s="25" t="n">
        <v>522000</v>
      </c>
      <c r="J6" s="25" t="n">
        <v>66</v>
      </c>
    </row>
    <row r="7" customFormat="false" ht="22.35" hidden="false" customHeight="false" outlineLevel="0" collapsed="false">
      <c r="A7" s="24" t="s">
        <v>149</v>
      </c>
      <c r="B7" s="25" t="n">
        <v>1.68</v>
      </c>
      <c r="C7" s="25" t="s">
        <v>150</v>
      </c>
      <c r="D7" s="25" t="n">
        <v>2027</v>
      </c>
      <c r="E7" s="25" t="n">
        <v>12</v>
      </c>
      <c r="F7" s="25" t="n">
        <v>36</v>
      </c>
      <c r="G7" s="25" t="n">
        <v>780053</v>
      </c>
      <c r="H7" s="25" t="n">
        <v>632479</v>
      </c>
      <c r="I7" s="25" t="n">
        <v>946799</v>
      </c>
      <c r="J7" s="25" t="n">
        <v>0</v>
      </c>
    </row>
    <row r="8" customFormat="false" ht="15" hidden="false" customHeight="false" outlineLevel="0" collapsed="false">
      <c r="A8" s="24" t="s">
        <v>151</v>
      </c>
      <c r="B8" s="25" t="n">
        <v>1.88</v>
      </c>
      <c r="C8" s="25" t="s">
        <v>152</v>
      </c>
      <c r="D8" s="25" t="n">
        <v>2022</v>
      </c>
      <c r="E8" s="25" t="n">
        <v>21</v>
      </c>
      <c r="F8" s="25" t="n">
        <v>3</v>
      </c>
      <c r="G8" s="25" t="n">
        <v>520000</v>
      </c>
      <c r="H8" s="25" t="n">
        <v>501416</v>
      </c>
      <c r="I8" s="25" t="n">
        <v>526599</v>
      </c>
      <c r="J8" s="25" t="n">
        <v>3</v>
      </c>
    </row>
    <row r="9" customFormat="false" ht="22.35" hidden="false" customHeight="false" outlineLevel="0" collapsed="false">
      <c r="A9" s="24" t="s">
        <v>153</v>
      </c>
      <c r="B9" s="25" t="n">
        <v>1.95</v>
      </c>
      <c r="C9" s="25" t="s">
        <v>154</v>
      </c>
      <c r="D9" s="25" t="n">
        <v>2027</v>
      </c>
      <c r="E9" s="25" t="n">
        <v>17</v>
      </c>
      <c r="F9" s="25" t="n">
        <v>181</v>
      </c>
      <c r="G9" s="25" t="n">
        <v>580367</v>
      </c>
      <c r="H9" s="25" t="n">
        <v>468138</v>
      </c>
      <c r="I9" s="25" t="n">
        <v>762538</v>
      </c>
      <c r="J9" s="25" t="n">
        <v>0</v>
      </c>
    </row>
    <row r="10" customFormat="false" ht="22.35" hidden="false" customHeight="false" outlineLevel="0" collapsed="false">
      <c r="A10" s="24" t="s">
        <v>155</v>
      </c>
      <c r="B10" s="25" t="n">
        <v>2.25</v>
      </c>
      <c r="C10" s="25" t="s">
        <v>156</v>
      </c>
      <c r="D10" s="25" t="n">
        <v>2028</v>
      </c>
      <c r="E10" s="25" t="n">
        <v>13</v>
      </c>
      <c r="F10" s="25" t="n">
        <v>36</v>
      </c>
      <c r="G10" s="25" t="n">
        <v>657500</v>
      </c>
      <c r="H10" s="25" t="n">
        <v>485488</v>
      </c>
      <c r="I10" s="25" t="n">
        <v>760000</v>
      </c>
      <c r="J10" s="25" t="n">
        <v>0</v>
      </c>
    </row>
  </sheetData>
  <hyperlinks>
    <hyperlink ref="A2" r:id="rId1" display="Ренессанс"/>
    <hyperlink ref="A3" r:id="rId2" display="СТОУН Сокольники"/>
    <hyperlink ref="A4" r:id="rId3" display="КОД Сокольники"/>
    <hyperlink ref="A5" r:id="rId4" display="Солос"/>
    <hyperlink ref="A6" r:id="rId5" display="ЭВОПАРК Сокольники"/>
    <hyperlink ref="A7" r:id="rId6" display="АРТЕЛЬ"/>
    <hyperlink ref="A8" r:id="rId7" display="Резиденция Сокольники"/>
    <hyperlink ref="A9" r:id="rId8" display="Преображенская площадь"/>
    <hyperlink ref="A10" r:id="rId9" display="Зиккурат Преображенский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6" t="s">
        <v>157</v>
      </c>
    </row>
    <row r="2" customFormat="false" ht="15" hidden="false" customHeight="false" outlineLevel="0" collapsed="false">
      <c r="A2" s="27" t="s">
        <v>158</v>
      </c>
    </row>
    <row r="3" customFormat="false" ht="22.35" hidden="false" customHeight="false" outlineLevel="0" collapsed="false">
      <c r="A3" s="27" t="s">
        <v>159</v>
      </c>
    </row>
    <row r="4" customFormat="false" ht="22.35" hidden="false" customHeight="false" outlineLevel="0" collapsed="false">
      <c r="A4" s="27" t="s">
        <v>160</v>
      </c>
    </row>
    <row r="5" customFormat="false" ht="15" hidden="false" customHeight="false" outlineLevel="0" collapsed="false">
      <c r="A5" s="27" t="s">
        <v>161</v>
      </c>
    </row>
    <row r="6" customFormat="false" ht="22.35" hidden="false" customHeight="false" outlineLevel="0" collapsed="false">
      <c r="A6" s="27" t="s">
        <v>162</v>
      </c>
    </row>
    <row r="7" customFormat="false" ht="15" hidden="false" customHeight="false" outlineLevel="0" collapsed="false">
      <c r="A7" s="27" t="s">
        <v>163</v>
      </c>
    </row>
    <row r="8" customFormat="false" ht="15" hidden="false" customHeight="false" outlineLevel="0" collapsed="false">
      <c r="A8" s="27" t="s">
        <v>164</v>
      </c>
    </row>
    <row r="9" customFormat="false" ht="15" hidden="false" customHeight="false" outlineLevel="0" collapsed="false">
      <c r="A9" s="27" t="s">
        <v>165</v>
      </c>
    </row>
    <row r="10" customFormat="false" ht="15" hidden="false" customHeight="false" outlineLevel="0" collapsed="false">
      <c r="A10" s="27" t="s">
        <v>166</v>
      </c>
    </row>
    <row r="11" customFormat="false" ht="15" hidden="false" customHeight="false" outlineLevel="0" collapsed="false">
      <c r="A11" s="27" t="s">
        <v>167</v>
      </c>
    </row>
    <row r="12" customFormat="false" ht="15" hidden="false" customHeight="false" outlineLevel="0" collapsed="false">
      <c r="A12" s="27" t="s">
        <v>168</v>
      </c>
    </row>
    <row r="13" customFormat="false" ht="15" hidden="false" customHeight="false" outlineLevel="0" collapsed="false">
      <c r="A13" s="27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2026-10-19T09:14:42Z</dcterms:created>
  <dc:creator>openpyxl</dc:creator>
  <dc:description/>
  <dc:language>en-US</dc:language>
  <cp:lastModifiedBy/>
  <dcterms:modified xsi:type="dcterms:W3CDTF">2026-10-19T09:14:42Z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