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водка" sheetId="1" state="visible" r:id="rId3"/>
    <sheet name="Допущения" sheetId="2" state="visible" r:id="rId4"/>
    <sheet name="Денежный поток" sheetId="3" state="visible" r:id="rId5"/>
    <sheet name="Аренда" sheetId="4" state="visible" r:id="rId6"/>
    <sheet name="Сценарии" sheetId="5" state="visible" r:id="rId7"/>
    <sheet name="Чувствительность" sheetId="6" state="visible" r:id="rId8"/>
    <sheet name="План Б" sheetId="7" state="visible" r:id="rId9"/>
    <sheet name="Конкуренты" sheetId="8" state="visible" r:id="rId10"/>
    <sheet name="Источники" sheetId="9" state="visible" r:id="rId11"/>
  </sheets>
  <definedNames>
    <definedName function="false" hidden="false" name="acq_ovb" vbProcedure="false">Сводка!$B$6</definedName>
    <definedName function="false" hidden="false" name="acq_price" vbProcedure="false">Сводка!$B$5</definedName>
    <definedName function="false" hidden="false" name="acq_total" vbProcedure="false">Сводка!$B$12</definedName>
    <definedName function="false" hidden="false" name="advisory" vbProcedure="false">Допущения!$B$12</definedName>
    <definedName function="false" hidden="false" name="area_vvo" vbProcedure="false">Допущения!$B$7</definedName>
    <definedName function="false" hidden="false" name="art13_share" vbProcedure="false">Допущения!$B$32</definedName>
    <definedName function="false" hidden="false" name="ask" vbProcedure="false">Допущения!$B$5</definedName>
    <definedName function="false" hidden="false" name="bank_fee" vbProcedure="false">Допущения!$B$28</definedName>
    <definedName function="false" hidden="false" name="bank_margin" vbProcedure="false">Допущения!$B$27</definedName>
    <definedName function="false" hidden="false" name="buyer_ovb" vbProcedure="false">Сводка!$B$37</definedName>
    <definedName function="false" hidden="false" name="buyer_total" vbProcedure="false">Сводка!$B$38</definedName>
    <definedName function="false" hidden="false" name="buy_price" vbProcedure="false">Допущения!$B$6</definedName>
    <definedName function="false" hidden="false" name="capex_fixed" vbProcedure="false">Допущения!$B$15</definedName>
    <definedName function="false" hidden="false" name="capex_m2" vbProcedure="false">Допущения!$B$14</definedName>
    <definedName function="false" hidden="false" name="capex_months" vbProcedure="false">Допущения!$B$17</definedName>
    <definedName function="false" hidden="false" name="capex_total" vbProcedure="false">Сводка!$B$14</definedName>
    <definedName function="false" hidden="false" name="capex_vat" vbProcedure="false">Допущения!$B$16</definedName>
    <definedName function="false" hidden="false" name="cost_total" vbProcedure="false">Сводка!$B$25</definedName>
    <definedName function="false" hidden="false" name="dd" vbProcedure="false">Допущения!$B$10</definedName>
    <definedName function="false" hidden="false" name="equity" vbProcedure="false">Сводка!$B$30</definedName>
    <definedName function="false" hidden="false" name="euribor" vbProcedure="false">Допущения!$B$26</definedName>
    <definedName function="false" hidden="false" name="exit_bar" vbProcedure="false">Допущения!$B$42</definedName>
    <definedName function="false" hidden="false" name="first_paid" vbProcedure="false">Сводка!$B$17</definedName>
    <definedName function="false" hidden="false" name="free_left" vbProcedure="false">Сводка!$B$19</definedName>
    <definedName function="false" hidden="false" name="holding_pct" vbProcedure="false">Допущения!$B$22</definedName>
    <definedName function="false" hidden="false" name="hold_cash" vbProcedure="false">'План Б'!$B$13</definedName>
    <definedName function="false" hidden="false" name="hold_eq" vbProcedure="false">'План Б'!$B$12</definedName>
    <definedName function="false" hidden="false" name="hold_int" vbProcedure="false">'План Б'!$B$11</definedName>
    <definedName function="false" hidden="false" name="hold_invested" vbProcedure="false">'План Б'!$B$8</definedName>
    <definedName function="false" hidden="false" name="hold_loan" vbProcedure="false">'План Б'!$B$10</definedName>
    <definedName function="false" hidden="false" name="hold_noi" vbProcedure="false">'План Б'!$B$7</definedName>
    <definedName function="false" hidden="false" name="hold_opex" vbProcedure="false">'План Б'!$B$5</definedName>
    <definedName function="false" hidden="false" name="income" vbProcedure="false">Сводка!$B$24</definedName>
    <definedName function="false" hidden="false" name="lease_month" vbProcedure="false">Допущения!$B$43</definedName>
    <definedName function="false" hidden="false" name="letting_fee" vbProcedure="false">Допущения!$B$19</definedName>
    <definedName function="false" hidden="false" name="loan" vbProcedure="false">Сводка!$B$13</definedName>
    <definedName function="false" hidden="false" name="loan_rate" vbProcedure="false">Допущения!$B$37</definedName>
    <definedName function="false" hidden="false" name="ltv" vbProcedure="false">Допущения!$B$25</definedName>
    <definedName function="false" hidden="false" name="marketing" vbProcedure="false">Допущения!$B$20</definedName>
    <definedName function="false" hidden="false" name="notary" vbProcedure="false">Допущения!$B$9</definedName>
    <definedName function="false" hidden="false" name="ovb" vbProcedure="false">Допущения!$B$8</definedName>
    <definedName function="false" hidden="false" name="profit" vbProcedure="false">Сводка!$B$26</definedName>
    <definedName function="false" hidden="false" name="refi_ltv" vbProcedure="false">'План Б'!$B$6</definedName>
    <definedName function="false" hidden="false" name="rent_base" vbProcedure="false">Аренда!$D$11</definedName>
    <definedName function="false" hidden="false" name="rent_eff" vbProcedure="false">Аренда!$D$13</definedName>
    <definedName function="false" hidden="false" name="rent_free" vbProcedure="false">Допущения!$B$44</definedName>
    <definedName function="false" hidden="false" name="rent_mult" vbProcedure="false">Допущения!$B$41</definedName>
    <definedName function="false" hidden="false" name="sale_cost" vbProcedure="false">Сводка!$B$22</definedName>
    <definedName function="false" hidden="false" name="sale_fee" vbProcedure="false">Допущения!$B$30</definedName>
    <definedName function="false" hidden="false" name="sale_fixed" vbProcedure="false">Допущения!$B$31</definedName>
    <definedName function="false" hidden="false" name="sale_month" vbProcedure="false">Допущения!$B$45</definedName>
    <definedName function="false" hidden="false" name="sale_price" vbProcedure="false">Сводка!$B$21</definedName>
    <definedName function="false" hidden="false" name="scenario" vbProcedure="false">Допущения!$B$46</definedName>
    <definedName function="false" hidden="false" name="split_cost" vbProcedure="false">'План Б'!$B$17</definedName>
    <definedName function="false" hidden="false" name="split_fee" vbProcedure="false">'План Б'!$B$19</definedName>
    <definedName function="false" hidden="false" name="split_gross" vbProcedure="false">'План Б'!$B$20</definedName>
    <definedName function="false" hidden="false" name="split_hold" vbProcedure="false">'План Б'!$B$23</definedName>
    <definedName function="false" hidden="false" name="split_int" vbProcedure="false">'План Б'!$B$22</definedName>
    <definedName function="false" hidden="false" name="split_months" vbProcedure="false">'План Б'!$B$18</definedName>
    <definedName function="false" hidden="false" name="split_pm2" vbProcedure="false">'План Б'!$B$16</definedName>
    <definedName function="false" hidden="false" name="split_sale_cost" vbProcedure="false">'План Б'!$B$21</definedName>
    <definedName function="false" hidden="false" name="split_total" vbProcedure="false">'План Б'!$B$24</definedName>
    <definedName function="false" hidden="false" name="uplift" vbProcedure="false">Сводка!$B$20</definedName>
    <definedName function="false" hidden="false" name="valuation" vbProcedure="false">Допущения!$B$11</definedName>
    <definedName function="false" hidden="false" name="value_let" vbProcedure="false">Сводка!$B$18</definedName>
    <definedName function="false" hidden="false" name="void_m2" vbProcedure="false">Допущения!$B$23</definedName>
    <definedName function="false" hidden="false" name="vpb" vbProcedure="false">Сводка!$B$28</definedName>
    <definedName function="false" hidden="false" name="vpb_high" vbProcedure="false">Допущения!$B$35</definedName>
    <definedName function="false" hidden="false" name="vpb_low" vbProcedure="false">Допущения!$B$34</definedName>
    <definedName function="false" hidden="false" name="vpb_step" vbProcedure="false">Допущения!$B$36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<sst xmlns="http://schemas.openxmlformats.org/spreadsheetml/2006/main" count="673" uniqueCount="445">
  <si>
    <t xml:space="preserve">Флип-модель: Kernweg 1, Хорн — сводка</t>
  </si>
  <si>
    <t xml:space="preserve">Купить пустым за свои средства → сдать → продать сданным инвестору. Все цифры — формулы от листов «Допущения» и «Аренда».</t>
  </si>
  <si>
    <t xml:space="preserve">Покупка</t>
  </si>
  <si>
    <t xml:space="preserve">Цена покупки</t>
  </si>
  <si>
    <t xml:space="preserve">Налог на передачу 10,4 %</t>
  </si>
  <si>
    <t xml:space="preserve">Нотариус и кадастр</t>
  </si>
  <si>
    <t xml:space="preserve">Проверка объекта</t>
  </si>
  <si>
    <t xml:space="preserve">Оценка для банка</t>
  </si>
  <si>
    <t xml:space="preserve">Консультант по покупке</t>
  </si>
  <si>
    <t xml:space="preserve">Комиссия банка</t>
  </si>
  <si>
    <t xml:space="preserve">Итого на покупку</t>
  </si>
  <si>
    <t xml:space="preserve">Кредит</t>
  </si>
  <si>
    <t xml:space="preserve">Ремонт с НДС</t>
  </si>
  <si>
    <t xml:space="preserve">Продажа</t>
  </si>
  <si>
    <t xml:space="preserve">Аренда в год (сценарий)</t>
  </si>
  <si>
    <t xml:space="preserve">Первый оплачиваемый месяц</t>
  </si>
  <si>
    <t xml:space="preserve">Стоимость сданного здания: аренда / доходность для инвестора</t>
  </si>
  <si>
    <t xml:space="preserve">Минус не закончившиеся каникулы</t>
  </si>
  <si>
    <t xml:space="preserve">Плюс доля экономии покупателя по ст. 13 (продажа до 6 мес.)</t>
  </si>
  <si>
    <t xml:space="preserve">ст. 13 WBR: покупатель платит 10,4 % только с прироста цены</t>
  </si>
  <si>
    <t xml:space="preserve">Цена продажи</t>
  </si>
  <si>
    <t xml:space="preserve">продажа сданного объекта инвестору; расходы на сделку платит покупатель (k.k.)</t>
  </si>
  <si>
    <t xml:space="preserve">Расходы на продажу</t>
  </si>
  <si>
    <t xml:space="preserve">Результат</t>
  </si>
  <si>
    <t xml:space="preserve">Доходы: аренда за период и продажа</t>
  </si>
  <si>
    <t xml:space="preserve">Все затраты: цена, налоги, ремонт, комиссии</t>
  </si>
  <si>
    <t xml:space="preserve">Прибыль до налога</t>
  </si>
  <si>
    <t xml:space="preserve">Заработок на каждые € 100 затрат</t>
  </si>
  <si>
    <t xml:space="preserve">прибыль до налога, делённая на все затраты</t>
  </si>
  <si>
    <t xml:space="preserve">Налог на прибыль VPB</t>
  </si>
  <si>
    <t xml:space="preserve">Прибыль после налога</t>
  </si>
  <si>
    <t xml:space="preserve">Вложено своих денег на пике</t>
  </si>
  <si>
    <t xml:space="preserve">сколько денег занято в проекте в самый затратный момент; покупка без кредита</t>
  </si>
  <si>
    <t xml:space="preserve">Прибыль на свои деньги до налога</t>
  </si>
  <si>
    <t xml:space="preserve">Прибыль на свои деньги после налога</t>
  </si>
  <si>
    <t xml:space="preserve">Доходность своих денег в пересчёте на год (IRR), до налога</t>
  </si>
  <si>
    <t xml:space="preserve">учитывает, сколько месяцев деньги заняты в проекте</t>
  </si>
  <si>
    <t xml:space="preserve">Доходность своих денег в пересчёте на год (IRR), после налога</t>
  </si>
  <si>
    <t xml:space="preserve">Сколько вернётся на € 1 своих денег, после налога</t>
  </si>
  <si>
    <t xml:space="preserve">вложенное плюс чистая прибыль, делённые на вложенное</t>
  </si>
  <si>
    <t xml:space="preserve">Глазами покупателя</t>
  </si>
  <si>
    <t xml:space="preserve">Налог на передачу, который платит покупатель</t>
  </si>
  <si>
    <t xml:space="preserve">Его полная цена</t>
  </si>
  <si>
    <t xml:space="preserve">Его доходность на все расходы</t>
  </si>
  <si>
    <t xml:space="preserve">сравнить с 8,5–8,9 % у сданных объектов в Хорне</t>
  </si>
  <si>
    <t xml:space="preserve">Потолок цены покупки (подбор моделью, базовые допущения)</t>
  </si>
  <si>
    <t xml:space="preserve">Прибыль 0 — дороже не покупать, продажа через 12 мес.</t>
  </si>
  <si>
    <t xml:space="preserve">€ 10 на каждые € 100 затрат, продажа через 12 мес.</t>
  </si>
  <si>
    <t xml:space="preserve">€ 15 на каждые € 100 затрат, продажа через 12 мес.</t>
  </si>
  <si>
    <t xml:space="preserve">Прибыль 0, продажа через 6 мес. (ст. 13)</t>
  </si>
  <si>
    <t xml:space="preserve">€ 10 на каждые € 100 затрат, продажа через 6 мес.</t>
  </si>
  <si>
    <t xml:space="preserve">Доходность для инвестора, при которой прибыль = 0 (12 мес.)</t>
  </si>
  <si>
    <t xml:space="preserve">Аренда, при которой прибыль = 0, € за м² (12 мес.)</t>
  </si>
  <si>
    <t xml:space="preserve">Значения подобраны Python-моделью; в Excel их можно перепроверить подбором параметра.</t>
  </si>
  <si>
    <t xml:space="preserve">Флип-модель: Kernweg 1, Хорн — допущения</t>
  </si>
  <si>
    <t xml:space="preserve">Синие значения на жёлтом фоне можно менять: все листы пересчитаются. Суммы без НДС, евро.</t>
  </si>
  <si>
    <t xml:space="preserve">Цена продавца (k.k.)</t>
  </si>
  <si>
    <t xml:space="preserve">funda in business, 16.10.2026</t>
  </si>
  <si>
    <t xml:space="preserve">Цена покупки — наше предложение</t>
  </si>
  <si>
    <t xml:space="preserve">−23 % к цене продавца; потолок без убытка — см. «Сводка»</t>
  </si>
  <si>
    <t xml:space="preserve">Площадь, м² VVO (полезная)</t>
  </si>
  <si>
    <t xml:space="preserve">по объявлению: 2.016 м² VVO, 2.155 м² BVO</t>
  </si>
  <si>
    <t xml:space="preserve">Налог на передачу недвижимости</t>
  </si>
  <si>
    <t xml:space="preserve">ст. 14 WBR, нежилая недвижимость, 2026–2027</t>
  </si>
  <si>
    <t xml:space="preserve">оценка</t>
  </si>
  <si>
    <t xml:space="preserve">Проверка объекта: техника, грунт, право</t>
  </si>
  <si>
    <t xml:space="preserve">Консультант по покупке, % цены</t>
  </si>
  <si>
    <t xml:space="preserve">Подготовка к сдаче</t>
  </si>
  <si>
    <t xml:space="preserve">Ремонт, € на м²</t>
  </si>
  <si>
    <t xml:space="preserve">покраска, свет, мелкий ремонт, разделение на два входа</t>
  </si>
  <si>
    <t xml:space="preserve">Ремонт, резерв</t>
  </si>
  <si>
    <t xml:space="preserve">НДС на ремонт (расход, пока аренда без НДС)</t>
  </si>
  <si>
    <t xml:space="preserve">при аренде с НДС возвращается</t>
  </si>
  <si>
    <t xml:space="preserve">Месяцев на ремонт</t>
  </si>
  <si>
    <t xml:space="preserve">Сдача в аренду</t>
  </si>
  <si>
    <t xml:space="preserve">Комиссия брокера, % годовой аренды</t>
  </si>
  <si>
    <t xml:space="preserve">рынок 10–16 %</t>
  </si>
  <si>
    <t xml:space="preserve">Реклама и показы</t>
  </si>
  <si>
    <t xml:space="preserve">Содержание</t>
  </si>
  <si>
    <t xml:space="preserve">Налог OZB, страховка, ремонт: % цены в год</t>
  </si>
  <si>
    <t xml:space="preserve">Энергия и охрана в простое, € на м² в год</t>
  </si>
  <si>
    <t xml:space="preserve">Кредит — по умолчанию не используется: покупка за свои средства</t>
  </si>
  <si>
    <t xml:space="preserve">Кредит, доля цены покупки (LTV)</t>
  </si>
  <si>
    <t xml:space="preserve">0 % — покупка за свои средства; можно поставить 50–60 %, чтобы сравнить</t>
  </si>
  <si>
    <t xml:space="preserve">Euribor 3M</t>
  </si>
  <si>
    <t xml:space="preserve">только если включить кредит; euribor-rates.eu, 14.10.2026</t>
  </si>
  <si>
    <t xml:space="preserve">Маржа банка</t>
  </si>
  <si>
    <t xml:space="preserve">только если включить кредит</t>
  </si>
  <si>
    <t xml:space="preserve">Комиссия банка, % кредита</t>
  </si>
  <si>
    <t xml:space="preserve">Брокер на продаже, % цены</t>
  </si>
  <si>
    <t xml:space="preserve">Юрист и реклама продажи</t>
  </si>
  <si>
    <t xml:space="preserve">Доля экономии покупателя по ст. 13 WBR, которую забираем в цене</t>
  </si>
  <si>
    <t xml:space="preserve">только при продаже до 6 месяцев после нашей покупки</t>
  </si>
  <si>
    <t xml:space="preserve">Налог на прибыль (VPB) 2026</t>
  </si>
  <si>
    <t xml:space="preserve">Ставка до порога</t>
  </si>
  <si>
    <t xml:space="preserve">KVK, 2026</t>
  </si>
  <si>
    <t xml:space="preserve">Ставка выше порога</t>
  </si>
  <si>
    <t xml:space="preserve">Порог</t>
  </si>
  <si>
    <t xml:space="preserve">Ставка кредита</t>
  </si>
  <si>
    <t xml:space="preserve">Сценарии</t>
  </si>
  <si>
    <t xml:space="preserve">Параметр</t>
  </si>
  <si>
    <t xml:space="preserve">Активный</t>
  </si>
  <si>
    <t xml:space="preserve">Пессимистичный</t>
  </si>
  <si>
    <t xml:space="preserve">Базовый</t>
  </si>
  <si>
    <t xml:space="preserve">Оптимистичный</t>
  </si>
  <si>
    <t xml:space="preserve">Ускоренный, 6 мес.</t>
  </si>
  <si>
    <t xml:space="preserve">Аренда, множитель к оценке</t>
  </si>
  <si>
    <t xml:space="preserve">Доходность выхода (BAR k.k.)</t>
  </si>
  <si>
    <t xml:space="preserve">Месяц начала аренды</t>
  </si>
  <si>
    <t xml:space="preserve">Арендные каникулы, мес.</t>
  </si>
  <si>
    <t xml:space="preserve">Месяц продажи (передача у нотариуса)</t>
  </si>
  <si>
    <t xml:space="preserve">Активный сценарий: 1 — пессимистичный, 2 — базовый, 3 — оптимистичный, 4 — ускоренный</t>
  </si>
  <si>
    <t xml:space="preserve">Денежный поток по месяцам</t>
  </si>
  <si>
    <t xml:space="preserve">Месяц 0 — передача у нотариуса и оплата; продажа — в конце месяца продажи</t>
  </si>
  <si>
    <t xml:space="preserve">Месяц</t>
  </si>
  <si>
    <t xml:space="preserve">В работе (до продажи)</t>
  </si>
  <si>
    <t xml:space="preserve">Покупка и расходы на сделку</t>
  </si>
  <si>
    <t xml:space="preserve">Ремонт</t>
  </si>
  <si>
    <t xml:space="preserve">Энергия и охрана в простое</t>
  </si>
  <si>
    <t xml:space="preserve">Сдача: брокер и реклама</t>
  </si>
  <si>
    <t xml:space="preserve">Аренда</t>
  </si>
  <si>
    <t xml:space="preserve">Проценты</t>
  </si>
  <si>
    <t xml:space="preserve">Кредит: получен / погашен</t>
  </si>
  <si>
    <t xml:space="preserve">Поток до налога</t>
  </si>
  <si>
    <t xml:space="preserve">Накопленный поток</t>
  </si>
  <si>
    <t xml:space="preserve">Налог на прибыль</t>
  </si>
  <si>
    <t xml:space="preserve">Поток после налога</t>
  </si>
  <si>
    <t xml:space="preserve">Оценка рыночной аренды по частям здания</t>
  </si>
  <si>
    <t xml:space="preserve">Ставки — по предложениям в Хорне, Зваге, Энкхёйзене и Пюрмеренде на funda in business, 16.10.2026</t>
  </si>
  <si>
    <t xml:space="preserve">Часть здания</t>
  </si>
  <si>
    <t xml:space="preserve">м² VVO</t>
  </si>
  <si>
    <t xml:space="preserve">€ за м² в год</t>
  </si>
  <si>
    <t xml:space="preserve">Аренда в год</t>
  </si>
  <si>
    <t xml:space="preserve">Основание ставки</t>
  </si>
  <si>
    <t xml:space="preserve">Шоурум, первый этаж</t>
  </si>
  <si>
    <t xml:space="preserve">витрина у въезда в Хорн 80, разрешена торговля; мелкие помещения в промзоне — € 85–100</t>
  </si>
  <si>
    <t xml:space="preserve">Шоурум и витрины, антресоль</t>
  </si>
  <si>
    <t xml:space="preserve">второй уровень шоурума, без отдельного входа</t>
  </si>
  <si>
    <t xml:space="preserve">Офисы, два этажа</t>
  </si>
  <si>
    <t xml:space="preserve">офисы в деловых районах Хорна — € 120–150</t>
  </si>
  <si>
    <t xml:space="preserve">Кантина и подсобные</t>
  </si>
  <si>
    <t xml:space="preserve">вспомогательные помещения</t>
  </si>
  <si>
    <t xml:space="preserve">Мастерские и склады, первый этаж</t>
  </si>
  <si>
    <t xml:space="preserve">большие залы в Хорне и окрестностях — € 57–75</t>
  </si>
  <si>
    <t xml:space="preserve">Склады и мастерские, второй этаж</t>
  </si>
  <si>
    <t xml:space="preserve">склад на этаже без ворот</t>
  </si>
  <si>
    <t xml:space="preserve">Итого</t>
  </si>
  <si>
    <t xml:space="preserve">Аренда с учётом сценария</t>
  </si>
  <si>
    <t xml:space="preserve">К цене продавца</t>
  </si>
  <si>
    <t xml:space="preserve">К цене покупки</t>
  </si>
  <si>
    <t xml:space="preserve">Сценарии и лестница цены покупки</t>
  </si>
  <si>
    <t xml:space="preserve">Рассчитано той же моделью; активный сценарий переключается на листе «Допущения»</t>
  </si>
  <si>
    <t xml:space="preserve">Показатель</t>
  </si>
  <si>
    <t xml:space="preserve">Ускоренный, 6 месяцев</t>
  </si>
  <si>
    <t xml:space="preserve">Доходность для инвестора</t>
  </si>
  <si>
    <t xml:space="preserve">Месяц продажи</t>
  </si>
  <si>
    <t xml:space="preserve">Все затраты</t>
  </si>
  <si>
    <t xml:space="preserve">Заработок на € 100 затрат</t>
  </si>
  <si>
    <t xml:space="preserve">В пересчёте на год до налога (IRR)</t>
  </si>
  <si>
    <t xml:space="preserve">В пересчёте на год после налога (IRR)</t>
  </si>
  <si>
    <t xml:space="preserve">Лестница цены покупки (базовые допущения)</t>
  </si>
  <si>
    <t xml:space="preserve">Скидка к цене продавца</t>
  </si>
  <si>
    <t xml:space="preserve">€ за м² VVO</t>
  </si>
  <si>
    <t xml:space="preserve">Прибыль, 12 мес.</t>
  </si>
  <si>
    <t xml:space="preserve">На € 100 затрат, 12 мес.</t>
  </si>
  <si>
    <t xml:space="preserve">В год, 12 мес.</t>
  </si>
  <si>
    <t xml:space="preserve">Прибыль, 6 мес.</t>
  </si>
  <si>
    <t xml:space="preserve">На € 100 затрат, 6 мес.</t>
  </si>
  <si>
    <t xml:space="preserve">В год, 6 мес.</t>
  </si>
  <si>
    <t xml:space="preserve">Чувствительность прибыли до налога</t>
  </si>
  <si>
    <t xml:space="preserve">Продажа через 12 месяцев; остальные допущения базовые</t>
  </si>
  <si>
    <t xml:space="preserve">Прибыль: цена покупки (строки) и доходность, которую требует инвестор (столбцы)</t>
  </si>
  <si>
    <t xml:space="preserve">Цена \ доходность</t>
  </si>
  <si>
    <t xml:space="preserve">Прибыль: аренда выше или ниже оценки (строки) и доходность для инвестора (столбцы)</t>
  </si>
  <si>
    <t xml:space="preserve">Аренда \ доходность</t>
  </si>
  <si>
    <t xml:space="preserve">Месяц начала аренды (строки) × месяц продажи (столбцы)</t>
  </si>
  <si>
    <t xml:space="preserve">Аренда \ продажа</t>
  </si>
  <si>
    <t xml:space="preserve">Доля экономии покупателя по ст. 13, которую забираем (продажа через 6 мес.)</t>
  </si>
  <si>
    <t xml:space="preserve">Доля</t>
  </si>
  <si>
    <t xml:space="preserve">План Б: если быстро продать не получается</t>
  </si>
  <si>
    <t xml:space="preserve">Формулы от листов «Допущения», «Аренда» и «Сводка»</t>
  </si>
  <si>
    <t xml:space="preserve">Держать сданным</t>
  </si>
  <si>
    <t xml:space="preserve">Расходы владельца, % аренды</t>
  </si>
  <si>
    <t xml:space="preserve">налог OZB владельца, страховка, ремонт, управление</t>
  </si>
  <si>
    <t xml:space="preserve">Кредит под сданное здание, % стоимости</t>
  </si>
  <si>
    <t xml:space="preserve">0 % — держим без кредита</t>
  </si>
  <si>
    <t xml:space="preserve">Чистый доход в год</t>
  </si>
  <si>
    <t xml:space="preserve">Вложено всего</t>
  </si>
  <si>
    <t xml:space="preserve">Чистая доходность на вложенное</t>
  </si>
  <si>
    <t xml:space="preserve">Новый кредит</t>
  </si>
  <si>
    <t xml:space="preserve">Проценты в год</t>
  </si>
  <si>
    <t xml:space="preserve">Капитал после рефинансирования</t>
  </si>
  <si>
    <t xml:space="preserve">Денежный поток в год</t>
  </si>
  <si>
    <t xml:space="preserve">Денежная доходность капитала</t>
  </si>
  <si>
    <t xml:space="preserve">Разделить на две части и продать пользователям</t>
  </si>
  <si>
    <t xml:space="preserve">Цена продажи, € за м² VVO</t>
  </si>
  <si>
    <t xml:space="preserve">Хорн 80: Electronplein 1 — € 922–999, De Marowijne 45 в Зваге — € 1.041</t>
  </si>
  <si>
    <t xml:space="preserve">Разделение: нотариус, кадастр, счётчики, противопожарная стена, второй вход</t>
  </si>
  <si>
    <t xml:space="preserve">Срок, месяцев</t>
  </si>
  <si>
    <t xml:space="preserve">Брокер на продаже, %</t>
  </si>
  <si>
    <t xml:space="preserve">Выручка</t>
  </si>
  <si>
    <t xml:space="preserve">Расходы на продажу двух частей</t>
  </si>
  <si>
    <t xml:space="preserve">Проценты за срок</t>
  </si>
  <si>
    <t xml:space="preserve">Содержание и простой за срок</t>
  </si>
  <si>
    <t xml:space="preserve">Маржа на затраты</t>
  </si>
  <si>
    <t xml:space="preserve">Сопоставимые объекты: Хорн и Западная Фрисландия</t>
  </si>
  <si>
    <t xml:space="preserve">funda in business, выгрузка через Scrapling 16.10.2026</t>
  </si>
  <si>
    <t xml:space="preserve">Продажа пустых зданий от 400 м²</t>
  </si>
  <si>
    <t xml:space="preserve">Адрес</t>
  </si>
  <si>
    <t xml:space="preserve">Город</t>
  </si>
  <si>
    <t xml:space="preserve">м²</t>
  </si>
  <si>
    <t xml:space="preserve">Цена</t>
  </si>
  <si>
    <t xml:space="preserve">€ за м²</t>
  </si>
  <si>
    <t xml:space="preserve">Год</t>
  </si>
  <si>
    <t xml:space="preserve">Статус</t>
  </si>
  <si>
    <t xml:space="preserve">На продаже</t>
  </si>
  <si>
    <t xml:space="preserve">Ссылка</t>
  </si>
  <si>
    <t xml:space="preserve">Kernweg 6</t>
  </si>
  <si>
    <t xml:space="preserve">Хорн</t>
  </si>
  <si>
    <t xml:space="preserve">1960-1970</t>
  </si>
  <si>
    <t xml:space="preserve">Beschikbaar</t>
  </si>
  <si>
    <t xml:space="preserve">6+ maanden</t>
  </si>
  <si>
    <t xml:space="preserve">https://www.fundainbusiness.nl/bedrijfshal/hoorn-nh/object-89466410-kernweg-6/</t>
  </si>
  <si>
    <t xml:space="preserve">Protonweg 13</t>
  </si>
  <si>
    <t xml:space="preserve">1971-1980</t>
  </si>
  <si>
    <t xml:space="preserve">Onder bod</t>
  </si>
  <si>
    <t xml:space="preserve">https://www.fundainbusiness.nl/bedrijfshal/hoorn-nh/object-89466418-protonweg-13/</t>
  </si>
  <si>
    <t xml:space="preserve">Neutronweg 7</t>
  </si>
  <si>
    <t xml:space="preserve">https://www.fundainbusiness.nl/bedrijfshal/hoorn-nh/object-89466413-neutronweg-7/</t>
  </si>
  <si>
    <t xml:space="preserve">Electronweg 19-23</t>
  </si>
  <si>
    <t xml:space="preserve">1978</t>
  </si>
  <si>
    <t xml:space="preserve">https://www.fundainbusiness.nl/bedrijfshal/hoorn-nh/object-43274830-electronweg-19-23/</t>
  </si>
  <si>
    <t xml:space="preserve">Kernweg 1</t>
  </si>
  <si>
    <t xml:space="preserve">2007</t>
  </si>
  <si>
    <t xml:space="preserve">https://www.fundainbusiness.nl/bedrijfshal/hoorn-nh/object-43955233-kernweg-1/</t>
  </si>
  <si>
    <t xml:space="preserve">Schelphorst 4</t>
  </si>
  <si>
    <t xml:space="preserve">Вирингерверф</t>
  </si>
  <si>
    <t xml:space="preserve">1993</t>
  </si>
  <si>
    <t xml:space="preserve">https://www.fundainbusiness.nl/bedrijfshal/wieringerwerf/object-43142682-schelphorst-4/</t>
  </si>
  <si>
    <t xml:space="preserve">Electronplein 1</t>
  </si>
  <si>
    <t xml:space="preserve">1999</t>
  </si>
  <si>
    <t xml:space="preserve">https://www.fundainbusiness.nl/bedrijfshal/hoorn-nh/object-43095324-electronplein-1/</t>
  </si>
  <si>
    <t xml:space="preserve">3 weken</t>
  </si>
  <si>
    <t xml:space="preserve">https://www.fundainbusiness.nl/bedrijfshal/hoorn-nh/object-44510584-electronplein-1/</t>
  </si>
  <si>
    <t xml:space="preserve">De Star 5-a</t>
  </si>
  <si>
    <t xml:space="preserve">Энкхёйзен</t>
  </si>
  <si>
    <t xml:space="preserve">2023</t>
  </si>
  <si>
    <t xml:space="preserve">6 weken</t>
  </si>
  <si>
    <t xml:space="preserve">https://www.fundainbusiness.nl/bedrijfshal/enkhuizen/object-44585555-de-star-5-a/</t>
  </si>
  <si>
    <t xml:space="preserve">https://www.fundainbusiness.nl/bedrijfshal/hoorn-nh/object-44504456-electronplein-1/</t>
  </si>
  <si>
    <t xml:space="preserve">Kernweg 4</t>
  </si>
  <si>
    <t xml:space="preserve">https://www.fundainbusiness.nl/bedrijfshal/hoorn-nh/object-89466524-kernweg-4/</t>
  </si>
  <si>
    <t xml:space="preserve">De Marowijne 45</t>
  </si>
  <si>
    <t xml:space="preserve">Зваг</t>
  </si>
  <si>
    <t xml:space="preserve">2004</t>
  </si>
  <si>
    <t xml:space="preserve">4 maanden</t>
  </si>
  <si>
    <t xml:space="preserve">https://www.fundainbusiness.nl/bedrijfshal/zwaag/object-80854248-de-marowijne-45/</t>
  </si>
  <si>
    <t xml:space="preserve">Westrak 1</t>
  </si>
  <si>
    <t xml:space="preserve">2026</t>
  </si>
  <si>
    <t xml:space="preserve">https://www.fundainbusiness.nl/bedrijfshal/wieringerwerf/object-43924423-westrak-1/</t>
  </si>
  <si>
    <t xml:space="preserve">Nijverheidsstraat 13-L</t>
  </si>
  <si>
    <t xml:space="preserve">Херхюговард</t>
  </si>
  <si>
    <t xml:space="preserve">Na 2020</t>
  </si>
  <si>
    <t xml:space="preserve">2 maanden</t>
  </si>
  <si>
    <t xml:space="preserve">https://www.fundainbusiness.nl/bedrijfshal/heerhugowaard/object-44449656-nijverheidsstraat-13-l/</t>
  </si>
  <si>
    <t xml:space="preserve">Pascalstraat 8</t>
  </si>
  <si>
    <t xml:space="preserve">2005</t>
  </si>
  <si>
    <t xml:space="preserve">https://www.fundainbusiness.nl/bedrijfshal/heerhugowaard/object-44588192-pascalstraat-8/</t>
  </si>
  <si>
    <t xml:space="preserve">Einsteinstraat 74</t>
  </si>
  <si>
    <t xml:space="preserve">Пюрмеренд</t>
  </si>
  <si>
    <t xml:space="preserve">1995</t>
  </si>
  <si>
    <t xml:space="preserve">4 weken</t>
  </si>
  <si>
    <t xml:space="preserve">https://www.fundainbusiness.nl/bedrijfshal/purmerend/object-80969678-einsteinstraat-74/</t>
  </si>
  <si>
    <t xml:space="preserve">Hertzstraat 2</t>
  </si>
  <si>
    <t xml:space="preserve">https://www.fundainbusiness.nl/bedrijfshal/purmerend/object-43377448-hertzstraat-2/</t>
  </si>
  <si>
    <t xml:space="preserve">Nijverheidsstraat 13-J</t>
  </si>
  <si>
    <t xml:space="preserve">Verkocht onder voorbehoud</t>
  </si>
  <si>
    <t xml:space="preserve">https://www.fundainbusiness.nl/bedrijfshal/heerhugowaard/object-44431378-nijverheidsstraat-13-j/</t>
  </si>
  <si>
    <t xml:space="preserve">Barnsteenstraat 1-F</t>
  </si>
  <si>
    <t xml:space="preserve">Алкмар</t>
  </si>
  <si>
    <t xml:space="preserve">https://www.fundainbusiness.nl/bedrijfshal/alkmaar/object-44445544-barnsteenstraat-1-f/</t>
  </si>
  <si>
    <t xml:space="preserve">Volume 128-130</t>
  </si>
  <si>
    <t xml:space="preserve">1998</t>
  </si>
  <si>
    <t xml:space="preserve">https://www.fundainbusiness.nl/bedrijfshal/purmerend/object-43571449-volume-128-130/</t>
  </si>
  <si>
    <t xml:space="preserve">Robbenkoog 21-B</t>
  </si>
  <si>
    <t xml:space="preserve">1996</t>
  </si>
  <si>
    <t xml:space="preserve">https://www.fundainbusiness.nl/bedrijfshal/alkmaar/object-89536024-robbenkoog-21-b/</t>
  </si>
  <si>
    <t xml:space="preserve">Herculesstraat 57</t>
  </si>
  <si>
    <t xml:space="preserve">1960</t>
  </si>
  <si>
    <t xml:space="preserve">https://www.fundainbusiness.nl/bedrijfshal/alkmaar/object-43873700-herculesstraat-57/</t>
  </si>
  <si>
    <t xml:space="preserve">John Kenneth Galbraithweg 3</t>
  </si>
  <si>
    <t xml:space="preserve">6 oktober 2026</t>
  </si>
  <si>
    <t xml:space="preserve">https://www.fundainbusiness.nl/bedrijfshal/zwaag/object-80999815-john-kenneth-galbraithweg-3/</t>
  </si>
  <si>
    <t xml:space="preserve">Schermerweg 31</t>
  </si>
  <si>
    <t xml:space="preserve">1928</t>
  </si>
  <si>
    <t xml:space="preserve">3 maanden</t>
  </si>
  <si>
    <t xml:space="preserve">https://www.fundainbusiness.nl/bedrijfshal/alkmaar/object-44417065-schermerweg-31/</t>
  </si>
  <si>
    <t xml:space="preserve">Rustenburgerweg 114</t>
  </si>
  <si>
    <t xml:space="preserve">1970</t>
  </si>
  <si>
    <t xml:space="preserve">https://www.fundainbusiness.nl/bedrijfshal/heerhugowaard/object-43353973-rustenburgerweg-114/</t>
  </si>
  <si>
    <t xml:space="preserve">https://www.fundainbusiness.nl/bedrijfshal/alkmaar/object-43802915-herculesstraat-57/</t>
  </si>
  <si>
    <t xml:space="preserve">Visserijweg 26-A</t>
  </si>
  <si>
    <t xml:space="preserve">8 weken</t>
  </si>
  <si>
    <t xml:space="preserve">https://www.fundainbusiness.nl/bedrijfshal/purmerend/object-44567828-visserijweg-26-a/</t>
  </si>
  <si>
    <t xml:space="preserve">Laanenderweg 30-31</t>
  </si>
  <si>
    <t xml:space="preserve">https://www.fundainbusiness.nl/bedrijfshal/alkmaar/object-43387323-laanenderweg-30-31/</t>
  </si>
  <si>
    <t xml:space="preserve">W.M. Dudokweg 11</t>
  </si>
  <si>
    <t xml:space="preserve">1990</t>
  </si>
  <si>
    <t xml:space="preserve">https://www.fundainbusiness.nl/bedrijfshal/heerhugowaard/object-44573735-wm-dudokweg-11/</t>
  </si>
  <si>
    <t xml:space="preserve">https://www.fundainbusiness.nl/bedrijfshal/alkmaar/object-43802000-herculesstraat-57/</t>
  </si>
  <si>
    <t xml:space="preserve">Аренда залов от 300 м²</t>
  </si>
  <si>
    <t xml:space="preserve">В год</t>
  </si>
  <si>
    <t xml:space="preserve">На рынке</t>
  </si>
  <si>
    <t xml:space="preserve">Koraalstraat 1</t>
  </si>
  <si>
    <t xml:space="preserve">https://www.fundainbusiness.nl/bedrijfshal/alkmaar/object-43318885-koraalstraat-1/</t>
  </si>
  <si>
    <t xml:space="preserve">Fluorietweg 29</t>
  </si>
  <si>
    <t xml:space="preserve">2010</t>
  </si>
  <si>
    <t xml:space="preserve">https://www.fundainbusiness.nl/bedrijfshal/alkmaar/object-43203349-fluorietweg-29/</t>
  </si>
  <si>
    <t xml:space="preserve">https://www.fundainbusiness.nl/bedrijfshal/hoorn-nh/object-43246991-electronplein-1/</t>
  </si>
  <si>
    <t xml:space="preserve">Westrak 208</t>
  </si>
  <si>
    <t xml:space="preserve">2006</t>
  </si>
  <si>
    <t xml:space="preserve">https://www.fundainbusiness.nl/bedrijfshal/wieringerwerf/object-42189263-westrak-208/</t>
  </si>
  <si>
    <t xml:space="preserve">2 weken</t>
  </si>
  <si>
    <t xml:space="preserve">https://www.fundainbusiness.nl/bedrijfshal/wieringerwerf/object-44528013-westrak-208/</t>
  </si>
  <si>
    <t xml:space="preserve">De Factorij 40</t>
  </si>
  <si>
    <t xml:space="preserve">https://www.fundainbusiness.nl/bedrijfshal/zwaag/object-44560899-de-factorij-40/</t>
  </si>
  <si>
    <t xml:space="preserve">Jelle Zijlstraweg 69</t>
  </si>
  <si>
    <t xml:space="preserve">2021</t>
  </si>
  <si>
    <t xml:space="preserve">https://www.fundainbusiness.nl/bedrijfshal/zwaag/object-44589122-jelle-zijlstraweg-69/</t>
  </si>
  <si>
    <t xml:space="preserve">https://www.fundainbusiness.nl/bedrijfshal/wieringerwerf/object-44528014-westrak-208/</t>
  </si>
  <si>
    <t xml:space="preserve">Hazenkoog 2</t>
  </si>
  <si>
    <t xml:space="preserve">1991</t>
  </si>
  <si>
    <t xml:space="preserve">https://www.fundainbusiness.nl/bedrijfshal/alkmaar/object-43714147-hazenkoog-2/</t>
  </si>
  <si>
    <t xml:space="preserve">Visserijweg 67</t>
  </si>
  <si>
    <t xml:space="preserve">2025</t>
  </si>
  <si>
    <t xml:space="preserve">https://www.fundainbusiness.nl/bedrijfshal/purmerend/object-43316575-visserijweg-67/</t>
  </si>
  <si>
    <t xml:space="preserve">Boomkorstraat 4</t>
  </si>
  <si>
    <t xml:space="preserve">2022</t>
  </si>
  <si>
    <t xml:space="preserve">https://www.fundainbusiness.nl/bedrijfshal/purmerend/object-44558293-boomkorstraat-4/</t>
  </si>
  <si>
    <t xml:space="preserve">Newtonstraat 44</t>
  </si>
  <si>
    <t xml:space="preserve">2 oktober 2026</t>
  </si>
  <si>
    <t xml:space="preserve">https://www.fundainbusiness.nl/bedrijfshal/heerhugowaard/object-44522402-newtonstraat-44/</t>
  </si>
  <si>
    <t xml:space="preserve">Nijverheidsstraat 13</t>
  </si>
  <si>
    <t xml:space="preserve">2001-2010</t>
  </si>
  <si>
    <t xml:space="preserve">https://www.fundainbusiness.nl/bedrijfshal/heerhugowaard/object-44468762-nijverheidsstraat-13/</t>
  </si>
  <si>
    <t xml:space="preserve">https://www.fundainbusiness.nl/bedrijfshal/alkmaar/object-43810741-herculesstraat-57/</t>
  </si>
  <si>
    <t xml:space="preserve">Ampèrestraat 46</t>
  </si>
  <si>
    <t xml:space="preserve">https://www.fundainbusiness.nl/bedrijfshal/heerhugowaard/object-44586253-amperestraat-46/</t>
  </si>
  <si>
    <t xml:space="preserve">5 maanden</t>
  </si>
  <si>
    <t xml:space="preserve">https://www.fundainbusiness.nl/bedrijfshal/heerhugowaard/object-44458904-newtonstraat-44/</t>
  </si>
  <si>
    <t xml:space="preserve">https://www.fundainbusiness.nl/bedrijfshal/heerhugowaard/object-44573588-wm-dudokweg-11/</t>
  </si>
  <si>
    <t xml:space="preserve">Nijverheidsweg 3-A</t>
  </si>
  <si>
    <t xml:space="preserve">Медемблик</t>
  </si>
  <si>
    <t xml:space="preserve">1987</t>
  </si>
  <si>
    <t xml:space="preserve">https://www.fundainbusiness.nl/bedrijfshal/medemblik/object-44404684-nijverheidsweg-3-a/</t>
  </si>
  <si>
    <t xml:space="preserve">Binnenzeestraat 32</t>
  </si>
  <si>
    <t xml:space="preserve">2020</t>
  </si>
  <si>
    <t xml:space="preserve">https://www.fundainbusiness.nl/bedrijfshal/purmerend/object-44559728-binnenzeestraat-32/</t>
  </si>
  <si>
    <t xml:space="preserve">De Corantijn 15-A</t>
  </si>
  <si>
    <t xml:space="preserve">2000</t>
  </si>
  <si>
    <t xml:space="preserve">https://www.fundainbusiness.nl/bedrijfshal/zwaag/object-80806129-de-corantijn-15-a/</t>
  </si>
  <si>
    <t xml:space="preserve">Van IJsendijkstraat 180-J</t>
  </si>
  <si>
    <t xml:space="preserve">1983</t>
  </si>
  <si>
    <t xml:space="preserve">7 weken</t>
  </si>
  <si>
    <t xml:space="preserve">https://www.fundainbusiness.nl/bedrijfshal/purmerend/object-44570556-van-ijsendijkstraat-180-j/</t>
  </si>
  <si>
    <t xml:space="preserve">Fuikstraat 4</t>
  </si>
  <si>
    <t xml:space="preserve">https://www.fundainbusiness.nl/bedrijfshal/purmerend/object-89563629-fuikstraat-4/</t>
  </si>
  <si>
    <t xml:space="preserve">Terpstraat 39-a</t>
  </si>
  <si>
    <t xml:space="preserve">1967</t>
  </si>
  <si>
    <t xml:space="preserve">https://www.fundainbusiness.nl/bedrijfshal/wieringerwerf/object-43357380-terpstraat-39-a/</t>
  </si>
  <si>
    <t xml:space="preserve">Jelle Zijlstraweg 62-G</t>
  </si>
  <si>
    <t xml:space="preserve">https://www.fundainbusiness.nl/bedrijfshal/zwaag/object-43384015-jelle-zijlstraweg-62-g/</t>
  </si>
  <si>
    <t xml:space="preserve">Otterkoog 105</t>
  </si>
  <si>
    <t xml:space="preserve">1991-2000</t>
  </si>
  <si>
    <t xml:space="preserve">14 oktober 2026</t>
  </si>
  <si>
    <t xml:space="preserve">https://www.fundainbusiness.nl/bedrijfshal/alkmaar/object-44545079-otterkoog-105/</t>
  </si>
  <si>
    <t xml:space="preserve">Het Witte Hert 4-a</t>
  </si>
  <si>
    <t xml:space="preserve">https://www.fundainbusiness.nl/bedrijfshal/enkhuizen/object-43318323-het-witte-hert-4-a/</t>
  </si>
  <si>
    <t xml:space="preserve">De Marowijne 11</t>
  </si>
  <si>
    <t xml:space="preserve">https://www.fundainbusiness.nl/bedrijfshal/zwaag/object-80919475-de-marowijne-11/</t>
  </si>
  <si>
    <t xml:space="preserve">Jelle Zijlstraweg 144</t>
  </si>
  <si>
    <t xml:space="preserve">https://www.fundainbusiness.nl/bedrijfshal/zwaag/object-80914900-jelle-zijlstraweg-144/</t>
  </si>
  <si>
    <t xml:space="preserve">De Zwaan 2</t>
  </si>
  <si>
    <t xml:space="preserve">2013</t>
  </si>
  <si>
    <t xml:space="preserve">https://www.fundainbusiness.nl/bedrijfshal/enkhuizen/object-43135139-de-zwaan-2/</t>
  </si>
  <si>
    <t xml:space="preserve">De Corantijn 53-A</t>
  </si>
  <si>
    <t xml:space="preserve">https://www.fundainbusiness.nl/bedrijfshal/zwaag/object-80932271-de-corantijn-53-a/</t>
  </si>
  <si>
    <t xml:space="preserve">Breed 41</t>
  </si>
  <si>
    <t xml:space="preserve">1901</t>
  </si>
  <si>
    <t xml:space="preserve">https://www.fundainbusiness.nl/bedrijfshal/hoorn-nh/object-89737562-breed-41/</t>
  </si>
  <si>
    <t xml:space="preserve">Binnenzeestraat 25</t>
  </si>
  <si>
    <t xml:space="preserve">2019</t>
  </si>
  <si>
    <t xml:space="preserve">https://www.fundainbusiness.nl/bedrijfshal/purmerend/object-43292862-binnenzeestraat-25/</t>
  </si>
  <si>
    <t xml:space="preserve">W.M. Dudokweg 10</t>
  </si>
  <si>
    <t xml:space="preserve">https://www.fundainbusiness.nl/bedrijfshal/heerhugowaard/object-44575365-wm-dudokweg-10/</t>
  </si>
  <si>
    <t xml:space="preserve">Jelle Zijlstraweg 60-D</t>
  </si>
  <si>
    <t xml:space="preserve">https://www.fundainbusiness.nl/bedrijfshal/zwaag/object-89281452-jelle-zijlstraweg-60-d/</t>
  </si>
  <si>
    <t xml:space="preserve">de Oude Veiling 25-H</t>
  </si>
  <si>
    <t xml:space="preserve">2024</t>
  </si>
  <si>
    <t xml:space="preserve">https://www.fundainbusiness.nl/bedrijfshal/zwaag/object-44446876-de-oude-veiling-25-h/</t>
  </si>
  <si>
    <t xml:space="preserve">Сданные объекты на продаже — доходность покупателя (k.k.)</t>
  </si>
  <si>
    <t xml:space="preserve">Доходность</t>
  </si>
  <si>
    <t xml:space="preserve">Boterstraat 21</t>
  </si>
  <si>
    <t xml:space="preserve">1900</t>
  </si>
  <si>
    <t xml:space="preserve">5 weken</t>
  </si>
  <si>
    <t xml:space="preserve">https://www.fundainbusiness.nl/belegging/alkmaar/object-44581679-boterstraat-21/</t>
  </si>
  <si>
    <t xml:space="preserve">Atoomweg 12</t>
  </si>
  <si>
    <t xml:space="preserve">1972</t>
  </si>
  <si>
    <t xml:space="preserve">https://www.fundainbusiness.nl/belegging/hoorn-nh/object-43363688-atoomweg-12/</t>
  </si>
  <si>
    <t xml:space="preserve">Kamerlingh Onnesstraat 27-B</t>
  </si>
  <si>
    <t xml:space="preserve">https://www.fundainbusiness.nl/belegging/alkmaar/object-43201526-kamerlingh-onnesstraat-27-b/</t>
  </si>
  <si>
    <t xml:space="preserve">Neutronweg 3</t>
  </si>
  <si>
    <t xml:space="preserve">около 1978</t>
  </si>
  <si>
    <t xml:space="preserve">снят с продажи</t>
  </si>
  <si>
    <t xml:space="preserve">https://www.fundainbusiness.nl/belegging/hoorn-nh/object-43660627-neutronweg-3/</t>
  </si>
  <si>
    <t xml:space="preserve">Другие здания по той же схеме: купить по цене продавца, сдать, продать через 12 месяцев</t>
  </si>
  <si>
    <t xml:space="preserve">Объект</t>
  </si>
  <si>
    <t xml:space="preserve">Цена продавца</t>
  </si>
  <si>
    <t xml:space="preserve">Аренда в год, оценка</t>
  </si>
  <si>
    <t xml:space="preserve">Итог по цене продавца</t>
  </si>
  <si>
    <t xml:space="preserve">Сбить цену, чтобы выйти в ноль</t>
  </si>
  <si>
    <t xml:space="preserve">Сбить цену ради € 10 на € 100 затрат</t>
  </si>
  <si>
    <t xml:space="preserve">Цена для € 10 на € 100 затрат</t>
  </si>
  <si>
    <t xml:space="preserve">Kernweg 1, Хорн</t>
  </si>
  <si>
    <t xml:space="preserve">Rijstenweg 4-6, Эйндховен</t>
  </si>
  <si>
    <t xml:space="preserve">Electronplein 1 (часть), Хорн</t>
  </si>
  <si>
    <t xml:space="preserve">Galvanistraat 122-126, Роттердам</t>
  </si>
  <si>
    <t xml:space="preserve">Industrieweg 99-B, Роттердам</t>
  </si>
  <si>
    <t xml:space="preserve">Vlambloem 163, Роттердам</t>
  </si>
  <si>
    <t xml:space="preserve">Karwijstraat 29-C и 29-D, Ньиве-Веннеп</t>
  </si>
  <si>
    <t xml:space="preserve">Petroleumhavenweg 24, Амстердам</t>
  </si>
  <si>
    <t xml:space="preserve">Источники и правила</t>
  </si>
  <si>
    <t xml:space="preserve">https://www.fundainbusiness.nl/bedrijfshal/hoorn-nh/object-43955233-kernweg-1/ — € 1.495.000 k.k., на продаже больше 6 месяцев</t>
  </si>
  <si>
    <t xml:space="preserve">Налог на передачу</t>
  </si>
  <si>
    <t xml:space="preserve">Wet op belastingen van rechtsverkeer, ст. 14: 10,4 % для нежилой недвижимости (редакции 2026-01-01 и 2027-01-01)</t>
  </si>
  <si>
    <t xml:space="preserve">Перепродажа до 6 месяцев</t>
  </si>
  <si>
    <t xml:space="preserve">Там же, ст. 13: при покупке в течение 6 месяцев после предыдущей покупки база уменьшается на сумму, с которой налог уже уплачен</t>
  </si>
  <si>
    <t xml:space="preserve">VPB 2026: 19 % до € 200.000, 25,8 % сверх (KVK)</t>
  </si>
  <si>
    <t xml:space="preserve">в модели не используется; Euribor 3M 2,628 % на 14.10.2026 (euribor-rates.eu) — на случай кредита</t>
  </si>
  <si>
    <t xml:space="preserve">Рынок</t>
  </si>
  <si>
    <t xml:space="preserve">NVM, бизнес-недвижимость, 2-й квартал 2026: спрос в Северной Голландии за полугодие на уровне прошлого года, предложение 5 % фонда</t>
  </si>
  <si>
    <t xml:space="preserve">Cushman &amp; Wakefield, 2-й квартал 2026: на второстепенных локациях — пустующие площади и уступки арендаторам</t>
  </si>
  <si>
    <t xml:space="preserve">JLL, лёгкая промышленность, 2-й квартал 2026: спрос за полугодие 887.200 м², в основном небольшие помещения, пустует 2,2 %</t>
  </si>
  <si>
    <t xml:space="preserve">Сопоставимые объекты</t>
  </si>
  <si>
    <t xml:space="preserve">funda in business: Хорн, Зваг, Энкхёйзен, Вогнюм, Медемблик, Пюрмеренд, Херхюговард, Алкмар; выгрузка Scrapling 16.10.2026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</si>
</sst>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€ &quot;#,##0;[RED]&quot;-€ &quot;#,##0"/>
    <numFmt numFmtId="166" formatCode="#,##0"/>
    <numFmt numFmtId="167" formatCode="&quot;€ &quot;#,##0.00"/>
    <numFmt numFmtId="168" formatCode="0.0%"/>
    <numFmt numFmtId="169" formatCode="0.00%"/>
    <numFmt numFmtId="170" formatCode="0.00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33A"/>
      <name val="Calibri"/>
      <family val="0"/>
      <charset val="1"/>
    </font>
    <font>
      <i val="true"/>
      <sz val="9"/>
      <color rgb="FF5D6B7C"/>
      <name val="Calibri"/>
      <family val="0"/>
      <charset val="1"/>
    </font>
    <font>
      <b val="true"/>
      <sz val="11"/>
      <color rgb="FF9C7C38"/>
      <name val="Cambria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9C7C38"/>
      <name val="Cambria"/>
      <family val="0"/>
      <charset val="1"/>
    </font>
    <font>
      <sz val="10"/>
      <color rgb="FF1F4FB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u val="single"/>
      <sz val="9"/>
      <color rgb="FF1F4FB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CE6DA"/>
        <bgColor rgb="FFFFF7E0"/>
      </patternFill>
    </fill>
    <fill>
      <patternFill patternType="solid">
        <fgColor rgb="FFFFF7E0"/>
        <bgColor rgb="FFFFFFFF"/>
      </patternFill>
    </fill>
    <fill>
      <patternFill patternType="solid">
        <fgColor rgb="FF16233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C38"/>
      <rgbColor rgb="FF800080"/>
      <rgbColor rgb="FF008080"/>
      <rgbColor rgb="FFC0C0C0"/>
      <rgbColor rgb="FF808080"/>
      <rgbColor rgb="FF9999FF"/>
      <rgbColor rgb="FF993366"/>
      <rgbColor rgb="FFFFF7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6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B7C"/>
      <rgbColor rgb="FF969696"/>
      <rgbColor rgb="FF003366"/>
      <rgbColor rgb="FF339966"/>
      <rgbColor rgb="FF003300"/>
      <rgbColor rgb="FF333300"/>
      <rgbColor rgb="FF993300"/>
      <rgbColor rgb="FF993366"/>
      <rgbColor rgb="FF1F4FB4"/>
      <rgbColor rgb="FF16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fundainbusiness.nl/bedrijfshal/hoorn-nh/object-89466410-kernweg-6/" TargetMode="External"/><Relationship Id="rId2" Type="http://schemas.openxmlformats.org/officeDocument/2006/relationships/hyperlink" Target="https://www.fundainbusiness.nl/bedrijfshal/hoorn-nh/object-89466418-protonweg-13/" TargetMode="External"/><Relationship Id="rId3" Type="http://schemas.openxmlformats.org/officeDocument/2006/relationships/hyperlink" Target="https://www.fundainbusiness.nl/bedrijfshal/hoorn-nh/object-89466413-neutronweg-7/" TargetMode="External"/><Relationship Id="rId4" Type="http://schemas.openxmlformats.org/officeDocument/2006/relationships/hyperlink" Target="https://www.fundainbusiness.nl/bedrijfshal/hoorn-nh/object-43274830-electronweg-19-23/" TargetMode="External"/><Relationship Id="rId5" Type="http://schemas.openxmlformats.org/officeDocument/2006/relationships/hyperlink" Target="https://www.fundainbusiness.nl/bedrijfshal/hoorn-nh/object-43955233-kernweg-1/" TargetMode="External"/><Relationship Id="rId6" Type="http://schemas.openxmlformats.org/officeDocument/2006/relationships/hyperlink" Target="https://www.fundainbusiness.nl/bedrijfshal/wieringerwerf/object-43142682-schelphorst-4/" TargetMode="External"/><Relationship Id="rId7" Type="http://schemas.openxmlformats.org/officeDocument/2006/relationships/hyperlink" Target="https://www.fundainbusiness.nl/bedrijfshal/hoorn-nh/object-43095324-electronplein-1/" TargetMode="External"/><Relationship Id="rId8" Type="http://schemas.openxmlformats.org/officeDocument/2006/relationships/hyperlink" Target="https://www.fundainbusiness.nl/bedrijfshal/hoorn-nh/object-44510584-electronplein-1/" TargetMode="External"/><Relationship Id="rId9" Type="http://schemas.openxmlformats.org/officeDocument/2006/relationships/hyperlink" Target="https://www.fundainbusiness.nl/bedrijfshal/enkhuizen/object-44585555-de-star-5-a/" TargetMode="External"/><Relationship Id="rId10" Type="http://schemas.openxmlformats.org/officeDocument/2006/relationships/hyperlink" Target="https://www.fundainbusiness.nl/bedrijfshal/hoorn-nh/object-44504456-electronplein-1/" TargetMode="External"/><Relationship Id="rId11" Type="http://schemas.openxmlformats.org/officeDocument/2006/relationships/hyperlink" Target="https://www.fundainbusiness.nl/bedrijfshal/hoorn-nh/object-89466524-kernweg-4/" TargetMode="External"/><Relationship Id="rId12" Type="http://schemas.openxmlformats.org/officeDocument/2006/relationships/hyperlink" Target="https://www.fundainbusiness.nl/bedrijfshal/zwaag/object-80854248-de-marowijne-45/" TargetMode="External"/><Relationship Id="rId13" Type="http://schemas.openxmlformats.org/officeDocument/2006/relationships/hyperlink" Target="https://www.fundainbusiness.nl/bedrijfshal/wieringerwerf/object-43924423-westrak-1/" TargetMode="External"/><Relationship Id="rId14" Type="http://schemas.openxmlformats.org/officeDocument/2006/relationships/hyperlink" Target="https://www.fundainbusiness.nl/bedrijfshal/heerhugowaard/object-44449656-nijverheidsstraat-13-l/" TargetMode="External"/><Relationship Id="rId15" Type="http://schemas.openxmlformats.org/officeDocument/2006/relationships/hyperlink" Target="https://www.fundainbusiness.nl/bedrijfshal/heerhugowaard/object-44588192-pascalstraat-8/" TargetMode="External"/><Relationship Id="rId16" Type="http://schemas.openxmlformats.org/officeDocument/2006/relationships/hyperlink" Target="https://www.fundainbusiness.nl/bedrijfshal/purmerend/object-80969678-einsteinstraat-74/" TargetMode="External"/><Relationship Id="rId17" Type="http://schemas.openxmlformats.org/officeDocument/2006/relationships/hyperlink" Target="https://www.fundainbusiness.nl/bedrijfshal/purmerend/object-43377448-hertzstraat-2/" TargetMode="External"/><Relationship Id="rId18" Type="http://schemas.openxmlformats.org/officeDocument/2006/relationships/hyperlink" Target="https://www.fundainbusiness.nl/bedrijfshal/heerhugowaard/object-44431378-nijverheidsstraat-13-j/" TargetMode="External"/><Relationship Id="rId19" Type="http://schemas.openxmlformats.org/officeDocument/2006/relationships/hyperlink" Target="https://www.fundainbusiness.nl/bedrijfshal/alkmaar/object-44445544-barnsteenstraat-1-f/" TargetMode="External"/><Relationship Id="rId20" Type="http://schemas.openxmlformats.org/officeDocument/2006/relationships/hyperlink" Target="https://www.fundainbusiness.nl/bedrijfshal/purmerend/object-43571449-volume-128-130/" TargetMode="External"/><Relationship Id="rId21" Type="http://schemas.openxmlformats.org/officeDocument/2006/relationships/hyperlink" Target="https://www.fundainbusiness.nl/bedrijfshal/alkmaar/object-89536024-robbenkoog-21-b/" TargetMode="External"/><Relationship Id="rId22" Type="http://schemas.openxmlformats.org/officeDocument/2006/relationships/hyperlink" Target="https://www.fundainbusiness.nl/bedrijfshal/alkmaar/object-43873700-herculesstraat-57/" TargetMode="External"/><Relationship Id="rId23" Type="http://schemas.openxmlformats.org/officeDocument/2006/relationships/hyperlink" Target="https://www.fundainbusiness.nl/bedrijfshal/zwaag/object-80999815-john-kenneth-galbraithweg-3/" TargetMode="External"/><Relationship Id="rId24" Type="http://schemas.openxmlformats.org/officeDocument/2006/relationships/hyperlink" Target="https://www.fundainbusiness.nl/bedrijfshal/alkmaar/object-44417065-schermerweg-31/" TargetMode="External"/><Relationship Id="rId25" Type="http://schemas.openxmlformats.org/officeDocument/2006/relationships/hyperlink" Target="https://www.fundainbusiness.nl/bedrijfshal/heerhugowaard/object-43353973-rustenburgerweg-114/" TargetMode="External"/><Relationship Id="rId26" Type="http://schemas.openxmlformats.org/officeDocument/2006/relationships/hyperlink" Target="https://www.fundainbusiness.nl/bedrijfshal/alkmaar/object-43802915-herculesstraat-57/" TargetMode="External"/><Relationship Id="rId27" Type="http://schemas.openxmlformats.org/officeDocument/2006/relationships/hyperlink" Target="https://www.fundainbusiness.nl/bedrijfshal/purmerend/object-44567828-visserijweg-26-a/" TargetMode="External"/><Relationship Id="rId28" Type="http://schemas.openxmlformats.org/officeDocument/2006/relationships/hyperlink" Target="https://www.fundainbusiness.nl/bedrijfshal/alkmaar/object-43387323-laanenderweg-30-31/" TargetMode="External"/><Relationship Id="rId29" Type="http://schemas.openxmlformats.org/officeDocument/2006/relationships/hyperlink" Target="https://www.fundainbusiness.nl/bedrijfshal/heerhugowaard/object-44573735-wm-dudokweg-11/" TargetMode="External"/><Relationship Id="rId30" Type="http://schemas.openxmlformats.org/officeDocument/2006/relationships/hyperlink" Target="https://www.fundainbusiness.nl/bedrijfshal/alkmaar/object-43802000-herculesstraat-57/" TargetMode="External"/><Relationship Id="rId31" Type="http://schemas.openxmlformats.org/officeDocument/2006/relationships/hyperlink" Target="https://www.fundainbusiness.nl/bedrijfshal/alkmaar/object-43318885-koraalstraat-1/" TargetMode="External"/><Relationship Id="rId32" Type="http://schemas.openxmlformats.org/officeDocument/2006/relationships/hyperlink" Target="https://www.fundainbusiness.nl/bedrijfshal/alkmaar/object-43203349-fluorietweg-29/" TargetMode="External"/><Relationship Id="rId33" Type="http://schemas.openxmlformats.org/officeDocument/2006/relationships/hyperlink" Target="https://www.fundainbusiness.nl/bedrijfshal/hoorn-nh/object-43246991-electronplein-1/" TargetMode="External"/><Relationship Id="rId34" Type="http://schemas.openxmlformats.org/officeDocument/2006/relationships/hyperlink" Target="https://www.fundainbusiness.nl/bedrijfshal/wieringerwerf/object-42189263-westrak-208/" TargetMode="External"/><Relationship Id="rId35" Type="http://schemas.openxmlformats.org/officeDocument/2006/relationships/hyperlink" Target="https://www.fundainbusiness.nl/bedrijfshal/wieringerwerf/object-44528013-westrak-208/" TargetMode="External"/><Relationship Id="rId36" Type="http://schemas.openxmlformats.org/officeDocument/2006/relationships/hyperlink" Target="https://www.fundainbusiness.nl/bedrijfshal/zwaag/object-44560899-de-factorij-40/" TargetMode="External"/><Relationship Id="rId37" Type="http://schemas.openxmlformats.org/officeDocument/2006/relationships/hyperlink" Target="https://www.fundainbusiness.nl/bedrijfshal/zwaag/object-44589122-jelle-zijlstraweg-69/" TargetMode="External"/><Relationship Id="rId38" Type="http://schemas.openxmlformats.org/officeDocument/2006/relationships/hyperlink" Target="https://www.fundainbusiness.nl/bedrijfshal/wieringerwerf/object-44528014-westrak-208/" TargetMode="External"/><Relationship Id="rId39" Type="http://schemas.openxmlformats.org/officeDocument/2006/relationships/hyperlink" Target="https://www.fundainbusiness.nl/bedrijfshal/alkmaar/object-43714147-hazenkoog-2/" TargetMode="External"/><Relationship Id="rId40" Type="http://schemas.openxmlformats.org/officeDocument/2006/relationships/hyperlink" Target="https://www.fundainbusiness.nl/bedrijfshal/purmerend/object-43316575-visserijweg-67/" TargetMode="External"/><Relationship Id="rId41" Type="http://schemas.openxmlformats.org/officeDocument/2006/relationships/hyperlink" Target="https://www.fundainbusiness.nl/bedrijfshal/purmerend/object-44558293-boomkorstraat-4/" TargetMode="External"/><Relationship Id="rId42" Type="http://schemas.openxmlformats.org/officeDocument/2006/relationships/hyperlink" Target="https://www.fundainbusiness.nl/bedrijfshal/heerhugowaard/object-44522402-newtonstraat-44/" TargetMode="External"/><Relationship Id="rId43" Type="http://schemas.openxmlformats.org/officeDocument/2006/relationships/hyperlink" Target="https://www.fundainbusiness.nl/bedrijfshal/heerhugowaard/object-44468762-nijverheidsstraat-13/" TargetMode="External"/><Relationship Id="rId44" Type="http://schemas.openxmlformats.org/officeDocument/2006/relationships/hyperlink" Target="https://www.fundainbusiness.nl/bedrijfshal/alkmaar/object-43810741-herculesstraat-57/" TargetMode="External"/><Relationship Id="rId45" Type="http://schemas.openxmlformats.org/officeDocument/2006/relationships/hyperlink" Target="https://www.fundainbusiness.nl/bedrijfshal/heerhugowaard/object-44586253-amperestraat-46/" TargetMode="External"/><Relationship Id="rId46" Type="http://schemas.openxmlformats.org/officeDocument/2006/relationships/hyperlink" Target="https://www.fundainbusiness.nl/bedrijfshal/heerhugowaard/object-44458904-newtonstraat-44/" TargetMode="External"/><Relationship Id="rId47" Type="http://schemas.openxmlformats.org/officeDocument/2006/relationships/hyperlink" Target="https://www.fundainbusiness.nl/bedrijfshal/heerhugowaard/object-44573588-wm-dudokweg-11/" TargetMode="External"/><Relationship Id="rId48" Type="http://schemas.openxmlformats.org/officeDocument/2006/relationships/hyperlink" Target="https://www.fundainbusiness.nl/bedrijfshal/medemblik/object-44404684-nijverheidsweg-3-a/" TargetMode="External"/><Relationship Id="rId49" Type="http://schemas.openxmlformats.org/officeDocument/2006/relationships/hyperlink" Target="https://www.fundainbusiness.nl/bedrijfshal/purmerend/object-44559728-binnenzeestraat-32/" TargetMode="External"/><Relationship Id="rId50" Type="http://schemas.openxmlformats.org/officeDocument/2006/relationships/hyperlink" Target="https://www.fundainbusiness.nl/bedrijfshal/zwaag/object-80806129-de-corantijn-15-a/" TargetMode="External"/><Relationship Id="rId51" Type="http://schemas.openxmlformats.org/officeDocument/2006/relationships/hyperlink" Target="https://www.fundainbusiness.nl/bedrijfshal/purmerend/object-44570556-van-ijsendijkstraat-180-j/" TargetMode="External"/><Relationship Id="rId52" Type="http://schemas.openxmlformats.org/officeDocument/2006/relationships/hyperlink" Target="https://www.fundainbusiness.nl/bedrijfshal/purmerend/object-89563629-fuikstraat-4/" TargetMode="External"/><Relationship Id="rId53" Type="http://schemas.openxmlformats.org/officeDocument/2006/relationships/hyperlink" Target="https://www.fundainbusiness.nl/bedrijfshal/wieringerwerf/object-43357380-terpstraat-39-a/" TargetMode="External"/><Relationship Id="rId54" Type="http://schemas.openxmlformats.org/officeDocument/2006/relationships/hyperlink" Target="https://www.fundainbusiness.nl/bedrijfshal/zwaag/object-43384015-jelle-zijlstraweg-62-g/" TargetMode="External"/><Relationship Id="rId55" Type="http://schemas.openxmlformats.org/officeDocument/2006/relationships/hyperlink" Target="https://www.fundainbusiness.nl/bedrijfshal/alkmaar/object-44545079-otterkoog-105/" TargetMode="External"/><Relationship Id="rId56" Type="http://schemas.openxmlformats.org/officeDocument/2006/relationships/hyperlink" Target="https://www.fundainbusiness.nl/bedrijfshal/enkhuizen/object-43318323-het-witte-hert-4-a/" TargetMode="External"/><Relationship Id="rId57" Type="http://schemas.openxmlformats.org/officeDocument/2006/relationships/hyperlink" Target="https://www.fundainbusiness.nl/bedrijfshal/zwaag/object-80919475-de-marowijne-11/" TargetMode="External"/><Relationship Id="rId58" Type="http://schemas.openxmlformats.org/officeDocument/2006/relationships/hyperlink" Target="https://www.fundainbusiness.nl/bedrijfshal/zwaag/object-80914900-jelle-zijlstraweg-144/" TargetMode="External"/><Relationship Id="rId59" Type="http://schemas.openxmlformats.org/officeDocument/2006/relationships/hyperlink" Target="https://www.fundainbusiness.nl/bedrijfshal/enkhuizen/object-43135139-de-zwaan-2/" TargetMode="External"/><Relationship Id="rId60" Type="http://schemas.openxmlformats.org/officeDocument/2006/relationships/hyperlink" Target="https://www.fundainbusiness.nl/bedrijfshal/zwaag/object-80932271-de-corantijn-53-a/" TargetMode="External"/><Relationship Id="rId61" Type="http://schemas.openxmlformats.org/officeDocument/2006/relationships/hyperlink" Target="https://www.fundainbusiness.nl/bedrijfshal/hoorn-nh/object-89737562-breed-41/" TargetMode="External"/><Relationship Id="rId62" Type="http://schemas.openxmlformats.org/officeDocument/2006/relationships/hyperlink" Target="https://www.fundainbusiness.nl/bedrijfshal/purmerend/object-43292862-binnenzeestraat-25/" TargetMode="External"/><Relationship Id="rId63" Type="http://schemas.openxmlformats.org/officeDocument/2006/relationships/hyperlink" Target="https://www.fundainbusiness.nl/bedrijfshal/heerhugowaard/object-44575365-wm-dudokweg-10/" TargetMode="External"/><Relationship Id="rId64" Type="http://schemas.openxmlformats.org/officeDocument/2006/relationships/hyperlink" Target="https://www.fundainbusiness.nl/bedrijfshal/zwaag/object-89281452-jelle-zijlstraweg-60-d/" TargetMode="External"/><Relationship Id="rId65" Type="http://schemas.openxmlformats.org/officeDocument/2006/relationships/hyperlink" Target="https://www.fundainbusiness.nl/bedrijfshal/zwaag/object-44446876-de-oude-veiling-25-h/" TargetMode="External"/><Relationship Id="rId66" Type="http://schemas.openxmlformats.org/officeDocument/2006/relationships/hyperlink" Target="https://www.fundainbusiness.nl/belegging/alkmaar/object-44581679-boterstraat-21/" TargetMode="External"/><Relationship Id="rId67" Type="http://schemas.openxmlformats.org/officeDocument/2006/relationships/hyperlink" Target="https://www.fundainbusiness.nl/belegging/hoorn-nh/object-43363688-atoomweg-12/" TargetMode="External"/><Relationship Id="rId68" Type="http://schemas.openxmlformats.org/officeDocument/2006/relationships/hyperlink" Target="https://www.fundainbusiness.nl/belegging/alkmaar/object-43201526-kamerlingh-onnesstraat-27-b/" TargetMode="External"/><Relationship Id="rId69" Type="http://schemas.openxmlformats.org/officeDocument/2006/relationships/hyperlink" Target="https://www.fundainbusiness.nl/belegging/hoorn-nh/object-43660627-neutronweg-3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buy_price</f>
        <v>1150000</v>
      </c>
    </row>
    <row r="6" customFormat="false" ht="15" hidden="false" customHeight="false" outlineLevel="0" collapsed="false">
      <c r="A6" s="4" t="s">
        <v>4</v>
      </c>
      <c r="B6" s="5" t="n">
        <f aca="false">buy_price*ovb</f>
        <v>119600</v>
      </c>
    </row>
    <row r="7" customFormat="false" ht="15" hidden="false" customHeight="false" outlineLevel="0" collapsed="false">
      <c r="A7" s="4" t="s">
        <v>5</v>
      </c>
      <c r="B7" s="5" t="n">
        <f aca="false">notary</f>
        <v>3500</v>
      </c>
    </row>
    <row r="8" customFormat="false" ht="15" hidden="false" customHeight="false" outlineLevel="0" collapsed="false">
      <c r="A8" s="4" t="s">
        <v>6</v>
      </c>
      <c r="B8" s="5" t="n">
        <f aca="false">dd</f>
        <v>7500</v>
      </c>
    </row>
    <row r="9" customFormat="false" ht="15" hidden="false" customHeight="false" outlineLevel="0" collapsed="false">
      <c r="A9" s="4" t="s">
        <v>7</v>
      </c>
      <c r="B9" s="5" t="n">
        <f aca="false">IF(ltv&gt;0,valuation,0)</f>
        <v>0</v>
      </c>
    </row>
    <row r="10" customFormat="false" ht="15" hidden="false" customHeight="false" outlineLevel="0" collapsed="false">
      <c r="A10" s="4" t="s">
        <v>8</v>
      </c>
      <c r="B10" s="5" t="n">
        <f aca="false">buy_price*advisory</f>
        <v>11500</v>
      </c>
    </row>
    <row r="11" customFormat="false" ht="15" hidden="false" customHeight="false" outlineLevel="0" collapsed="false">
      <c r="A11" s="4" t="s">
        <v>9</v>
      </c>
      <c r="B11" s="5" t="n">
        <f aca="false">loan*bank_fee</f>
        <v>0</v>
      </c>
    </row>
    <row r="12" customFormat="false" ht="15" hidden="false" customHeight="false" outlineLevel="0" collapsed="false">
      <c r="A12" s="6" t="s">
        <v>10</v>
      </c>
      <c r="B12" s="7" t="n">
        <f aca="false">SUM(B5:B11)</f>
        <v>1292100</v>
      </c>
    </row>
    <row r="13" customFormat="false" ht="15" hidden="false" customHeight="false" outlineLevel="0" collapsed="false">
      <c r="A13" s="4" t="s">
        <v>11</v>
      </c>
      <c r="B13" s="5" t="n">
        <f aca="false">buy_price*ltv</f>
        <v>0</v>
      </c>
    </row>
    <row r="14" customFormat="false" ht="15" hidden="false" customHeight="false" outlineLevel="0" collapsed="false">
      <c r="A14" s="4" t="s">
        <v>12</v>
      </c>
      <c r="B14" s="5" t="n">
        <f aca="false">(capex_m2*area_vvo+capex_fixed)*(1+capex_vat)</f>
        <v>51812.2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4" t="s">
        <v>14</v>
      </c>
      <c r="B16" s="5" t="n">
        <f aca="false">rent_eff</f>
        <v>125625</v>
      </c>
    </row>
    <row r="17" customFormat="false" ht="15" hidden="false" customHeight="false" outlineLevel="0" collapsed="false">
      <c r="A17" s="4" t="s">
        <v>15</v>
      </c>
      <c r="B17" s="8" t="n">
        <f aca="false">lease_month+rent_free</f>
        <v>8</v>
      </c>
    </row>
    <row r="18" customFormat="false" ht="15" hidden="false" customHeight="false" outlineLevel="0" collapsed="false">
      <c r="A18" s="4" t="s">
        <v>16</v>
      </c>
      <c r="B18" s="5" t="n">
        <f aca="false">rent_eff/exit_bar</f>
        <v>1522727.27272727</v>
      </c>
    </row>
    <row r="19" customFormat="false" ht="15" hidden="false" customHeight="false" outlineLevel="0" collapsed="false">
      <c r="A19" s="4" t="s">
        <v>17</v>
      </c>
      <c r="B19" s="5" t="n">
        <f aca="false">MAX(0,first_paid-1-sale_month)*rent_eff/12</f>
        <v>0</v>
      </c>
    </row>
    <row r="20" customFormat="false" ht="15" hidden="false" customHeight="false" outlineLevel="0" collapsed="false">
      <c r="A20" s="4" t="s">
        <v>18</v>
      </c>
      <c r="B20" s="5" t="n">
        <f aca="false">IF(sale_month&lt;=6,art13_share*ovb*buy_price/(1+ovb),0)</f>
        <v>0</v>
      </c>
      <c r="C20" s="2" t="s">
        <v>19</v>
      </c>
    </row>
    <row r="21" customFormat="false" ht="15" hidden="false" customHeight="false" outlineLevel="0" collapsed="false">
      <c r="A21" s="6" t="s">
        <v>20</v>
      </c>
      <c r="B21" s="7" t="n">
        <f aca="false">value_let-free_left+uplift</f>
        <v>1522727.27272727</v>
      </c>
      <c r="C21" s="2" t="s">
        <v>21</v>
      </c>
    </row>
    <row r="22" customFormat="false" ht="15" hidden="false" customHeight="false" outlineLevel="0" collapsed="false">
      <c r="A22" s="4" t="s">
        <v>22</v>
      </c>
      <c r="B22" s="5" t="n">
        <f aca="false">sale_price*sale_fee+sale_fixed</f>
        <v>21534.0909090909</v>
      </c>
    </row>
    <row r="23" customFormat="false" ht="15" hidden="false" customHeight="false" outlineLevel="0" collapsed="false">
      <c r="A23" s="3" t="s">
        <v>23</v>
      </c>
    </row>
    <row r="24" customFormat="false" ht="15" hidden="false" customHeight="false" outlineLevel="0" collapsed="false">
      <c r="A24" s="4" t="s">
        <v>24</v>
      </c>
      <c r="B24" s="5" t="n">
        <f aca="false">SUM('Денежный поток'!B10:Z10)+SUM('Денежный поток'!B13:Z13)</f>
        <v>1575071.02272727</v>
      </c>
    </row>
    <row r="25" customFormat="false" ht="15" hidden="false" customHeight="false" outlineLevel="0" collapsed="false">
      <c r="A25" s="4" t="s">
        <v>25</v>
      </c>
      <c r="B25" s="5" t="n">
        <f aca="false">-(SUM('Денежный поток'!B5:Z9)+SUM('Денежный поток'!B11:Z11)+SUM('Денежный поток'!B14:Z14))</f>
        <v>1394706.04090909</v>
      </c>
    </row>
    <row r="26" customFormat="false" ht="15" hidden="false" customHeight="false" outlineLevel="0" collapsed="false">
      <c r="A26" s="6" t="s">
        <v>26</v>
      </c>
      <c r="B26" s="7" t="n">
        <f aca="false">SUM('Денежный поток'!B15:Z15)</f>
        <v>180364.981818182</v>
      </c>
    </row>
    <row r="27" customFormat="false" ht="15" hidden="false" customHeight="false" outlineLevel="0" collapsed="false">
      <c r="A27" s="4" t="s">
        <v>27</v>
      </c>
      <c r="B27" s="9" t="n">
        <f aca="false">profit/cost_total*100</f>
        <v>12.9321144762962</v>
      </c>
      <c r="C27" s="2" t="s">
        <v>28</v>
      </c>
    </row>
    <row r="28" customFormat="false" ht="15" hidden="false" customHeight="false" outlineLevel="0" collapsed="false">
      <c r="A28" s="4" t="s">
        <v>29</v>
      </c>
      <c r="B28" s="5" t="n">
        <f aca="false">IF(profit&lt;=0,0,MIN(profit,vpb_step)*vpb_low+MAX(0,profit-vpb_step)*vpb_high)</f>
        <v>34269.3465454546</v>
      </c>
    </row>
    <row r="29" customFormat="false" ht="15" hidden="false" customHeight="false" outlineLevel="0" collapsed="false">
      <c r="A29" s="6" t="s">
        <v>30</v>
      </c>
      <c r="B29" s="7" t="n">
        <f aca="false">profit-vpb</f>
        <v>146095.635272727</v>
      </c>
    </row>
    <row r="30" customFormat="false" ht="15" hidden="false" customHeight="false" outlineLevel="0" collapsed="false">
      <c r="A30" s="6" t="s">
        <v>31</v>
      </c>
      <c r="B30" s="7" t="n">
        <f aca="false">-MIN('Денежный поток'!B16:Z16)</f>
        <v>1370296.95</v>
      </c>
      <c r="C30" s="2" t="s">
        <v>32</v>
      </c>
    </row>
    <row r="31" customFormat="false" ht="15" hidden="false" customHeight="false" outlineLevel="0" collapsed="false">
      <c r="A31" s="4" t="s">
        <v>33</v>
      </c>
      <c r="B31" s="10" t="n">
        <f aca="false">profit/equity</f>
        <v>0.131624741497222</v>
      </c>
    </row>
    <row r="32" customFormat="false" ht="15" hidden="false" customHeight="false" outlineLevel="0" collapsed="false">
      <c r="A32" s="4" t="s">
        <v>34</v>
      </c>
      <c r="B32" s="10" t="n">
        <f aca="false">(profit-vpb)/equity</f>
        <v>0.10661604061275</v>
      </c>
    </row>
    <row r="33" customFormat="false" ht="15" hidden="false" customHeight="false" outlineLevel="0" collapsed="false">
      <c r="A33" s="6" t="s">
        <v>35</v>
      </c>
      <c r="B33" s="11" t="n">
        <f aca="false">(1+IRR('Денежный поток'!B15:Z15,0.01))^12-1</f>
        <v>0.134101918551975</v>
      </c>
      <c r="C33" s="2" t="s">
        <v>36</v>
      </c>
    </row>
    <row r="34" customFormat="false" ht="15" hidden="false" customHeight="false" outlineLevel="0" collapsed="false">
      <c r="A34" s="4" t="s">
        <v>37</v>
      </c>
      <c r="B34" s="10" t="n">
        <f aca="false">(1+IRR('Денежный поток'!B18:Z18,0.01))^12-1</f>
        <v>0.108617273669284</v>
      </c>
    </row>
    <row r="35" customFormat="false" ht="15" hidden="false" customHeight="false" outlineLevel="0" collapsed="false">
      <c r="A35" s="4" t="s">
        <v>38</v>
      </c>
      <c r="B35" s="9" t="n">
        <f aca="false">(equity+profit-vpb)/equity</f>
        <v>1.10661604061275</v>
      </c>
      <c r="C35" s="2" t="s">
        <v>39</v>
      </c>
    </row>
    <row r="36" customFormat="false" ht="15" hidden="false" customHeight="false" outlineLevel="0" collapsed="false">
      <c r="A36" s="3" t="s">
        <v>40</v>
      </c>
    </row>
    <row r="37" customFormat="false" ht="15" hidden="false" customHeight="false" outlineLevel="0" collapsed="false">
      <c r="A37" s="4" t="s">
        <v>41</v>
      </c>
      <c r="B37" s="5" t="n">
        <f aca="false">IF(sale_month&lt;=6,ovb*(sale_price-buy_price),ovb*sale_price)</f>
        <v>158363.636363636</v>
      </c>
    </row>
    <row r="38" customFormat="false" ht="15" hidden="false" customHeight="false" outlineLevel="0" collapsed="false">
      <c r="A38" s="4" t="s">
        <v>42</v>
      </c>
      <c r="B38" s="5" t="n">
        <f aca="false">sale_price+buyer_ovb</f>
        <v>1681090.90909091</v>
      </c>
    </row>
    <row r="39" customFormat="false" ht="15" hidden="false" customHeight="false" outlineLevel="0" collapsed="false">
      <c r="A39" s="4" t="s">
        <v>43</v>
      </c>
      <c r="B39" s="12" t="n">
        <f aca="false">rent_eff/buyer_total</f>
        <v>0.0747282608695652</v>
      </c>
      <c r="C39" s="2" t="s">
        <v>44</v>
      </c>
    </row>
    <row r="41" customFormat="false" ht="15" hidden="false" customHeight="false" outlineLevel="0" collapsed="false">
      <c r="A41" s="3" t="s">
        <v>45</v>
      </c>
    </row>
    <row r="42" customFormat="false" ht="15" hidden="false" customHeight="false" outlineLevel="0" collapsed="false">
      <c r="A42" s="0" t="s">
        <v>46</v>
      </c>
      <c r="B42" s="5" t="n">
        <v>1311040</v>
      </c>
      <c r="C42" s="10" t="n">
        <f aca="false">B42/ask-1</f>
        <v>-0.12305016722408</v>
      </c>
    </row>
    <row r="43" customFormat="false" ht="15" hidden="false" customHeight="false" outlineLevel="0" collapsed="false">
      <c r="A43" s="0" t="s">
        <v>47</v>
      </c>
      <c r="B43" s="5" t="n">
        <v>1183193</v>
      </c>
      <c r="C43" s="10" t="n">
        <f aca="false">B43/ask-1</f>
        <v>-0.208566555183947</v>
      </c>
    </row>
    <row r="44" customFormat="false" ht="15" hidden="false" customHeight="false" outlineLevel="0" collapsed="false">
      <c r="A44" s="0" t="s">
        <v>48</v>
      </c>
      <c r="B44" s="5" t="n">
        <v>1127608</v>
      </c>
      <c r="C44" s="10" t="n">
        <f aca="false">B44/ask-1</f>
        <v>-0.245747157190635</v>
      </c>
    </row>
    <row r="45" customFormat="false" ht="15" hidden="false" customHeight="false" outlineLevel="0" collapsed="false">
      <c r="A45" s="0" t="s">
        <v>49</v>
      </c>
      <c r="B45" s="5" t="n">
        <v>1343282</v>
      </c>
      <c r="C45" s="10" t="n">
        <f aca="false">B45/ask-1</f>
        <v>-0.101483612040134</v>
      </c>
    </row>
    <row r="46" customFormat="false" ht="15" hidden="false" customHeight="false" outlineLevel="0" collapsed="false">
      <c r="A46" s="0" t="s">
        <v>50</v>
      </c>
      <c r="B46" s="5" t="n">
        <v>1207360</v>
      </c>
      <c r="C46" s="10" t="n">
        <f aca="false">B46/ask-1</f>
        <v>-0.192401337792642</v>
      </c>
    </row>
    <row r="47" customFormat="false" ht="15" hidden="false" customHeight="false" outlineLevel="0" collapsed="false">
      <c r="A47" s="0" t="s">
        <v>51</v>
      </c>
      <c r="B47" s="12" t="n">
        <v>0.0937444599911043</v>
      </c>
    </row>
    <row r="48" customFormat="false" ht="15" hidden="false" customHeight="false" outlineLevel="0" collapsed="false">
      <c r="A48" s="0" t="s">
        <v>52</v>
      </c>
      <c r="B48" s="9" t="n">
        <v>55.0024403582632</v>
      </c>
    </row>
    <row r="49" customFormat="false" ht="15" hidden="false" customHeight="false" outlineLevel="0" collapsed="false">
      <c r="A49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7" min="4" style="0" width="15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13" t="s">
        <v>2</v>
      </c>
    </row>
    <row r="5" customFormat="false" ht="15" hidden="false" customHeight="false" outlineLevel="0" collapsed="false">
      <c r="A5" s="4" t="s">
        <v>56</v>
      </c>
      <c r="B5" s="14" t="n">
        <v>1495000</v>
      </c>
      <c r="C5" s="2" t="s">
        <v>57</v>
      </c>
    </row>
    <row r="6" customFormat="false" ht="15" hidden="false" customHeight="false" outlineLevel="0" collapsed="false">
      <c r="A6" s="4" t="s">
        <v>58</v>
      </c>
      <c r="B6" s="14" t="n">
        <v>1150000</v>
      </c>
      <c r="C6" s="2" t="s">
        <v>59</v>
      </c>
    </row>
    <row r="7" customFormat="false" ht="15" hidden="false" customHeight="false" outlineLevel="0" collapsed="false">
      <c r="A7" s="4" t="s">
        <v>60</v>
      </c>
      <c r="B7" s="15" t="n">
        <v>2016</v>
      </c>
      <c r="C7" s="2" t="s">
        <v>61</v>
      </c>
    </row>
    <row r="8" customFormat="false" ht="15" hidden="false" customHeight="false" outlineLevel="0" collapsed="false">
      <c r="A8" s="4" t="s">
        <v>62</v>
      </c>
      <c r="B8" s="16" t="n">
        <v>0.104</v>
      </c>
      <c r="C8" s="2" t="s">
        <v>63</v>
      </c>
    </row>
    <row r="9" customFormat="false" ht="15" hidden="false" customHeight="false" outlineLevel="0" collapsed="false">
      <c r="A9" s="4" t="s">
        <v>5</v>
      </c>
      <c r="B9" s="14" t="n">
        <v>3500</v>
      </c>
      <c r="C9" s="2" t="s">
        <v>64</v>
      </c>
    </row>
    <row r="10" customFormat="false" ht="15" hidden="false" customHeight="false" outlineLevel="0" collapsed="false">
      <c r="A10" s="4" t="s">
        <v>65</v>
      </c>
      <c r="B10" s="14" t="n">
        <v>7500</v>
      </c>
      <c r="C10" s="2" t="s">
        <v>64</v>
      </c>
    </row>
    <row r="11" customFormat="false" ht="15" hidden="false" customHeight="false" outlineLevel="0" collapsed="false">
      <c r="A11" s="4" t="s">
        <v>7</v>
      </c>
      <c r="B11" s="14" t="n">
        <v>3500</v>
      </c>
      <c r="C11" s="2" t="s">
        <v>64</v>
      </c>
    </row>
    <row r="12" customFormat="false" ht="15" hidden="false" customHeight="false" outlineLevel="0" collapsed="false">
      <c r="A12" s="4" t="s">
        <v>66</v>
      </c>
      <c r="B12" s="16" t="n">
        <v>0.01</v>
      </c>
      <c r="C12" s="2" t="s">
        <v>64</v>
      </c>
    </row>
    <row r="13" customFormat="false" ht="15" hidden="false" customHeight="false" outlineLevel="0" collapsed="false">
      <c r="A13" s="13" t="s">
        <v>67</v>
      </c>
    </row>
    <row r="14" customFormat="false" ht="15" hidden="false" customHeight="false" outlineLevel="0" collapsed="false">
      <c r="A14" s="4" t="s">
        <v>68</v>
      </c>
      <c r="B14" s="14" t="n">
        <v>20</v>
      </c>
      <c r="C14" s="2" t="s">
        <v>69</v>
      </c>
    </row>
    <row r="15" customFormat="false" ht="15" hidden="false" customHeight="false" outlineLevel="0" collapsed="false">
      <c r="A15" s="4" t="s">
        <v>70</v>
      </c>
      <c r="B15" s="14" t="n">
        <v>2500</v>
      </c>
      <c r="C15" s="2"/>
    </row>
    <row r="16" customFormat="false" ht="15" hidden="false" customHeight="false" outlineLevel="0" collapsed="false">
      <c r="A16" s="4" t="s">
        <v>71</v>
      </c>
      <c r="B16" s="16" t="n">
        <v>0.21</v>
      </c>
      <c r="C16" s="2" t="s">
        <v>72</v>
      </c>
    </row>
    <row r="17" customFormat="false" ht="15" hidden="false" customHeight="false" outlineLevel="0" collapsed="false">
      <c r="A17" s="4" t="s">
        <v>73</v>
      </c>
      <c r="B17" s="15" t="n">
        <v>2</v>
      </c>
      <c r="C17" s="2"/>
    </row>
    <row r="18" customFormat="false" ht="15" hidden="false" customHeight="false" outlineLevel="0" collapsed="false">
      <c r="A18" s="13" t="s">
        <v>74</v>
      </c>
    </row>
    <row r="19" customFormat="false" ht="15" hidden="false" customHeight="false" outlineLevel="0" collapsed="false">
      <c r="A19" s="4" t="s">
        <v>75</v>
      </c>
      <c r="B19" s="16" t="n">
        <v>0.15</v>
      </c>
      <c r="C19" s="2" t="s">
        <v>76</v>
      </c>
    </row>
    <row r="20" customFormat="false" ht="15" hidden="false" customHeight="false" outlineLevel="0" collapsed="false">
      <c r="A20" s="4" t="s">
        <v>77</v>
      </c>
      <c r="B20" s="14" t="n">
        <v>1500</v>
      </c>
      <c r="C20" s="2"/>
    </row>
    <row r="21" customFormat="false" ht="15" hidden="false" customHeight="false" outlineLevel="0" collapsed="false">
      <c r="A21" s="13" t="s">
        <v>78</v>
      </c>
    </row>
    <row r="22" customFormat="false" ht="15" hidden="false" customHeight="false" outlineLevel="0" collapsed="false">
      <c r="A22" s="4" t="s">
        <v>79</v>
      </c>
      <c r="B22" s="17" t="n">
        <v>0.006</v>
      </c>
      <c r="C22" s="2"/>
    </row>
    <row r="23" customFormat="false" ht="15" hidden="false" customHeight="false" outlineLevel="0" collapsed="false">
      <c r="A23" s="4" t="s">
        <v>80</v>
      </c>
      <c r="B23" s="18" t="n">
        <v>3</v>
      </c>
      <c r="C23" s="2"/>
    </row>
    <row r="24" customFormat="false" ht="15" hidden="false" customHeight="false" outlineLevel="0" collapsed="false">
      <c r="A24" s="13" t="s">
        <v>81</v>
      </c>
    </row>
    <row r="25" customFormat="false" ht="15" hidden="false" customHeight="false" outlineLevel="0" collapsed="false">
      <c r="A25" s="4" t="s">
        <v>82</v>
      </c>
      <c r="B25" s="16" t="n">
        <v>0</v>
      </c>
      <c r="C25" s="2" t="s">
        <v>83</v>
      </c>
    </row>
    <row r="26" customFormat="false" ht="15" hidden="false" customHeight="false" outlineLevel="0" collapsed="false">
      <c r="A26" s="4" t="s">
        <v>84</v>
      </c>
      <c r="B26" s="17" t="n">
        <v>0.02628</v>
      </c>
      <c r="C26" s="2" t="s">
        <v>85</v>
      </c>
    </row>
    <row r="27" customFormat="false" ht="15" hidden="false" customHeight="false" outlineLevel="0" collapsed="false">
      <c r="A27" s="4" t="s">
        <v>86</v>
      </c>
      <c r="B27" s="17" t="n">
        <v>0.0275</v>
      </c>
      <c r="C27" s="2" t="s">
        <v>87</v>
      </c>
    </row>
    <row r="28" customFormat="false" ht="15" hidden="false" customHeight="false" outlineLevel="0" collapsed="false">
      <c r="A28" s="4" t="s">
        <v>88</v>
      </c>
      <c r="B28" s="16" t="n">
        <v>0.01</v>
      </c>
      <c r="C28" s="2" t="s">
        <v>87</v>
      </c>
    </row>
    <row r="29" customFormat="false" ht="15" hidden="false" customHeight="false" outlineLevel="0" collapsed="false">
      <c r="A29" s="13" t="s">
        <v>13</v>
      </c>
    </row>
    <row r="30" customFormat="false" ht="15" hidden="false" customHeight="false" outlineLevel="0" collapsed="false">
      <c r="A30" s="4" t="s">
        <v>89</v>
      </c>
      <c r="B30" s="17" t="n">
        <v>0.0125</v>
      </c>
      <c r="C30" s="2"/>
    </row>
    <row r="31" customFormat="false" ht="15" hidden="false" customHeight="false" outlineLevel="0" collapsed="false">
      <c r="A31" s="4" t="s">
        <v>90</v>
      </c>
      <c r="B31" s="14" t="n">
        <v>2500</v>
      </c>
      <c r="C31" s="2"/>
    </row>
    <row r="32" customFormat="false" ht="15" hidden="false" customHeight="false" outlineLevel="0" collapsed="false">
      <c r="A32" s="4" t="s">
        <v>91</v>
      </c>
      <c r="B32" s="16" t="n">
        <v>0.5</v>
      </c>
      <c r="C32" s="2" t="s">
        <v>92</v>
      </c>
    </row>
    <row r="33" customFormat="false" ht="15" hidden="false" customHeight="false" outlineLevel="0" collapsed="false">
      <c r="A33" s="13" t="s">
        <v>93</v>
      </c>
    </row>
    <row r="34" customFormat="false" ht="15" hidden="false" customHeight="false" outlineLevel="0" collapsed="false">
      <c r="A34" s="4" t="s">
        <v>94</v>
      </c>
      <c r="B34" s="16" t="n">
        <v>0.19</v>
      </c>
      <c r="C34" s="2" t="s">
        <v>95</v>
      </c>
    </row>
    <row r="35" customFormat="false" ht="15" hidden="false" customHeight="false" outlineLevel="0" collapsed="false">
      <c r="A35" s="4" t="s">
        <v>96</v>
      </c>
      <c r="B35" s="17" t="n">
        <v>0.258</v>
      </c>
      <c r="C35" s="2"/>
    </row>
    <row r="36" customFormat="false" ht="15" hidden="false" customHeight="false" outlineLevel="0" collapsed="false">
      <c r="A36" s="4" t="s">
        <v>97</v>
      </c>
      <c r="B36" s="14" t="n">
        <v>200000</v>
      </c>
      <c r="C36" s="2"/>
    </row>
    <row r="37" customFormat="false" ht="15" hidden="false" customHeight="false" outlineLevel="0" collapsed="false">
      <c r="A37" s="6" t="s">
        <v>98</v>
      </c>
      <c r="B37" s="12" t="n">
        <f aca="false">euribor+bank_margin</f>
        <v>0.05378</v>
      </c>
    </row>
    <row r="39" customFormat="false" ht="15" hidden="false" customHeight="false" outlineLevel="0" collapsed="false">
      <c r="A39" s="13" t="s">
        <v>99</v>
      </c>
    </row>
    <row r="40" customFormat="false" ht="15" hidden="false" customHeight="false" outlineLevel="0" collapsed="false">
      <c r="A40" s="19" t="s">
        <v>100</v>
      </c>
      <c r="B40" s="19" t="s">
        <v>101</v>
      </c>
      <c r="D40" s="19" t="s">
        <v>102</v>
      </c>
      <c r="E40" s="19" t="s">
        <v>103</v>
      </c>
      <c r="F40" s="19" t="s">
        <v>104</v>
      </c>
      <c r="G40" s="19" t="s">
        <v>105</v>
      </c>
    </row>
    <row r="41" customFormat="false" ht="15" hidden="false" customHeight="false" outlineLevel="0" collapsed="false">
      <c r="A41" s="4" t="s">
        <v>106</v>
      </c>
      <c r="B41" s="20" t="n">
        <f aca="false">INDEX(D41:G41,scenario)</f>
        <v>1</v>
      </c>
      <c r="D41" s="21" t="n">
        <v>0.9</v>
      </c>
      <c r="E41" s="21" t="n">
        <v>1</v>
      </c>
      <c r="F41" s="21" t="n">
        <v>1.1</v>
      </c>
      <c r="G41" s="21" t="n">
        <v>1</v>
      </c>
    </row>
    <row r="42" customFormat="false" ht="15" hidden="false" customHeight="false" outlineLevel="0" collapsed="false">
      <c r="A42" s="4" t="s">
        <v>107</v>
      </c>
      <c r="B42" s="22" t="n">
        <f aca="false">INDEX(D42:G42,scenario)</f>
        <v>0.0825</v>
      </c>
      <c r="D42" s="17" t="n">
        <v>0.09</v>
      </c>
      <c r="E42" s="17" t="n">
        <v>0.0825</v>
      </c>
      <c r="F42" s="17" t="n">
        <v>0.0775</v>
      </c>
      <c r="G42" s="17" t="n">
        <v>0.0825</v>
      </c>
    </row>
    <row r="43" customFormat="false" ht="15" hidden="false" customHeight="false" outlineLevel="0" collapsed="false">
      <c r="A43" s="4" t="s">
        <v>108</v>
      </c>
      <c r="B43" s="23" t="n">
        <f aca="false">INDEX(D43:G43,scenario)</f>
        <v>5</v>
      </c>
      <c r="D43" s="15" t="n">
        <v>8</v>
      </c>
      <c r="E43" s="15" t="n">
        <v>5</v>
      </c>
      <c r="F43" s="15" t="n">
        <v>4</v>
      </c>
      <c r="G43" s="15" t="n">
        <v>3</v>
      </c>
    </row>
    <row r="44" customFormat="false" ht="15" hidden="false" customHeight="false" outlineLevel="0" collapsed="false">
      <c r="A44" s="4" t="s">
        <v>109</v>
      </c>
      <c r="B44" s="23" t="n">
        <f aca="false">INDEX(D44:G44,scenario)</f>
        <v>3</v>
      </c>
      <c r="D44" s="15" t="n">
        <v>4</v>
      </c>
      <c r="E44" s="15" t="n">
        <v>3</v>
      </c>
      <c r="F44" s="15" t="n">
        <v>2</v>
      </c>
      <c r="G44" s="15" t="n">
        <v>2</v>
      </c>
    </row>
    <row r="45" customFormat="false" ht="15" hidden="false" customHeight="false" outlineLevel="0" collapsed="false">
      <c r="A45" s="4" t="s">
        <v>110</v>
      </c>
      <c r="B45" s="23" t="n">
        <f aca="false">INDEX(D45:G45,scenario)</f>
        <v>12</v>
      </c>
      <c r="D45" s="15" t="n">
        <v>15</v>
      </c>
      <c r="E45" s="15" t="n">
        <v>12</v>
      </c>
      <c r="F45" s="15" t="n">
        <v>10</v>
      </c>
      <c r="G45" s="15" t="n">
        <v>6</v>
      </c>
    </row>
    <row r="46" customFormat="false" ht="15" hidden="false" customHeight="false" outlineLevel="0" collapsed="false">
      <c r="A46" s="6" t="s">
        <v>111</v>
      </c>
      <c r="B46" s="2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6" min="2" style="0" width="11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3" customFormat="false" ht="15" hidden="false" customHeight="false" outlineLevel="0" collapsed="false">
      <c r="A3" s="6" t="s">
        <v>114</v>
      </c>
      <c r="B3" s="19" t="n">
        <v>0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  <c r="M3" s="19" t="n">
        <v>11</v>
      </c>
      <c r="N3" s="19" t="n">
        <v>12</v>
      </c>
      <c r="O3" s="19" t="n">
        <v>13</v>
      </c>
      <c r="P3" s="19" t="n">
        <v>14</v>
      </c>
      <c r="Q3" s="19" t="n">
        <v>15</v>
      </c>
      <c r="R3" s="19" t="n">
        <v>16</v>
      </c>
      <c r="S3" s="19" t="n">
        <v>17</v>
      </c>
      <c r="T3" s="19" t="n">
        <v>18</v>
      </c>
      <c r="U3" s="19" t="n">
        <v>19</v>
      </c>
      <c r="V3" s="19" t="n">
        <v>20</v>
      </c>
      <c r="W3" s="19" t="n">
        <v>21</v>
      </c>
      <c r="X3" s="19" t="n">
        <v>22</v>
      </c>
      <c r="Y3" s="19" t="n">
        <v>23</v>
      </c>
      <c r="Z3" s="19" t="n">
        <v>24</v>
      </c>
    </row>
    <row r="4" customFormat="false" ht="15" hidden="false" customHeight="false" outlineLevel="0" collapsed="false">
      <c r="A4" s="4" t="s">
        <v>115</v>
      </c>
      <c r="B4" s="8" t="n">
        <f aca="false">IF(B$3&lt;=sale_month,1,0)</f>
        <v>1</v>
      </c>
      <c r="C4" s="8" t="n">
        <f aca="false">IF(C$3&lt;=sale_month,1,0)</f>
        <v>1</v>
      </c>
      <c r="D4" s="8" t="n">
        <f aca="false">IF(D$3&lt;=sale_month,1,0)</f>
        <v>1</v>
      </c>
      <c r="E4" s="8" t="n">
        <f aca="false">IF(E$3&lt;=sale_month,1,0)</f>
        <v>1</v>
      </c>
      <c r="F4" s="8" t="n">
        <f aca="false">IF(F$3&lt;=sale_month,1,0)</f>
        <v>1</v>
      </c>
      <c r="G4" s="8" t="n">
        <f aca="false">IF(G$3&lt;=sale_month,1,0)</f>
        <v>1</v>
      </c>
      <c r="H4" s="8" t="n">
        <f aca="false">IF(H$3&lt;=sale_month,1,0)</f>
        <v>1</v>
      </c>
      <c r="I4" s="8" t="n">
        <f aca="false">IF(I$3&lt;=sale_month,1,0)</f>
        <v>1</v>
      </c>
      <c r="J4" s="8" t="n">
        <f aca="false">IF(J$3&lt;=sale_month,1,0)</f>
        <v>1</v>
      </c>
      <c r="K4" s="8" t="n">
        <f aca="false">IF(K$3&lt;=sale_month,1,0)</f>
        <v>1</v>
      </c>
      <c r="L4" s="8" t="n">
        <f aca="false">IF(L$3&lt;=sale_month,1,0)</f>
        <v>1</v>
      </c>
      <c r="M4" s="8" t="n">
        <f aca="false">IF(M$3&lt;=sale_month,1,0)</f>
        <v>1</v>
      </c>
      <c r="N4" s="8" t="n">
        <f aca="false">IF(N$3&lt;=sale_month,1,0)</f>
        <v>1</v>
      </c>
      <c r="O4" s="8" t="n">
        <f aca="false">IF(O$3&lt;=sale_month,1,0)</f>
        <v>0</v>
      </c>
      <c r="P4" s="8" t="n">
        <f aca="false">IF(P$3&lt;=sale_month,1,0)</f>
        <v>0</v>
      </c>
      <c r="Q4" s="8" t="n">
        <f aca="false">IF(Q$3&lt;=sale_month,1,0)</f>
        <v>0</v>
      </c>
      <c r="R4" s="8" t="n">
        <f aca="false">IF(R$3&lt;=sale_month,1,0)</f>
        <v>0</v>
      </c>
      <c r="S4" s="8" t="n">
        <f aca="false">IF(S$3&lt;=sale_month,1,0)</f>
        <v>0</v>
      </c>
      <c r="T4" s="8" t="n">
        <f aca="false">IF(T$3&lt;=sale_month,1,0)</f>
        <v>0</v>
      </c>
      <c r="U4" s="8" t="n">
        <f aca="false">IF(U$3&lt;=sale_month,1,0)</f>
        <v>0</v>
      </c>
      <c r="V4" s="8" t="n">
        <f aca="false">IF(V$3&lt;=sale_month,1,0)</f>
        <v>0</v>
      </c>
      <c r="W4" s="8" t="n">
        <f aca="false">IF(W$3&lt;=sale_month,1,0)</f>
        <v>0</v>
      </c>
      <c r="X4" s="8" t="n">
        <f aca="false">IF(X$3&lt;=sale_month,1,0)</f>
        <v>0</v>
      </c>
      <c r="Y4" s="8" t="n">
        <f aca="false">IF(Y$3&lt;=sale_month,1,0)</f>
        <v>0</v>
      </c>
      <c r="Z4" s="8" t="n">
        <f aca="false">IF(Z$3&lt;=sale_month,1,0)</f>
        <v>0</v>
      </c>
    </row>
    <row r="5" customFormat="false" ht="15" hidden="false" customHeight="false" outlineLevel="0" collapsed="false">
      <c r="A5" s="4" t="s">
        <v>116</v>
      </c>
      <c r="B5" s="5" t="n">
        <f aca="false">IF(B$3=0,-acq_total,0)</f>
        <v>-1292100</v>
      </c>
      <c r="C5" s="5" t="n">
        <f aca="false">IF(C$3=0,-acq_total,0)</f>
        <v>0</v>
      </c>
      <c r="D5" s="5" t="n">
        <f aca="false">IF(D$3=0,-acq_total,0)</f>
        <v>0</v>
      </c>
      <c r="E5" s="5" t="n">
        <f aca="false">IF(E$3=0,-acq_total,0)</f>
        <v>0</v>
      </c>
      <c r="F5" s="5" t="n">
        <f aca="false">IF(F$3=0,-acq_total,0)</f>
        <v>0</v>
      </c>
      <c r="G5" s="5" t="n">
        <f aca="false">IF(G$3=0,-acq_total,0)</f>
        <v>0</v>
      </c>
      <c r="H5" s="5" t="n">
        <f aca="false">IF(H$3=0,-acq_total,0)</f>
        <v>0</v>
      </c>
      <c r="I5" s="5" t="n">
        <f aca="false">IF(I$3=0,-acq_total,0)</f>
        <v>0</v>
      </c>
      <c r="J5" s="5" t="n">
        <f aca="false">IF(J$3=0,-acq_total,0)</f>
        <v>0</v>
      </c>
      <c r="K5" s="5" t="n">
        <f aca="false">IF(K$3=0,-acq_total,0)</f>
        <v>0</v>
      </c>
      <c r="L5" s="5" t="n">
        <f aca="false">IF(L$3=0,-acq_total,0)</f>
        <v>0</v>
      </c>
      <c r="M5" s="5" t="n">
        <f aca="false">IF(M$3=0,-acq_total,0)</f>
        <v>0</v>
      </c>
      <c r="N5" s="5" t="n">
        <f aca="false">IF(N$3=0,-acq_total,0)</f>
        <v>0</v>
      </c>
      <c r="O5" s="5" t="n">
        <f aca="false">IF(O$3=0,-acq_total,0)</f>
        <v>0</v>
      </c>
      <c r="P5" s="5" t="n">
        <f aca="false">IF(P$3=0,-acq_total,0)</f>
        <v>0</v>
      </c>
      <c r="Q5" s="5" t="n">
        <f aca="false">IF(Q$3=0,-acq_total,0)</f>
        <v>0</v>
      </c>
      <c r="R5" s="5" t="n">
        <f aca="false">IF(R$3=0,-acq_total,0)</f>
        <v>0</v>
      </c>
      <c r="S5" s="5" t="n">
        <f aca="false">IF(S$3=0,-acq_total,0)</f>
        <v>0</v>
      </c>
      <c r="T5" s="5" t="n">
        <f aca="false">IF(T$3=0,-acq_total,0)</f>
        <v>0</v>
      </c>
      <c r="U5" s="5" t="n">
        <f aca="false">IF(U$3=0,-acq_total,0)</f>
        <v>0</v>
      </c>
      <c r="V5" s="5" t="n">
        <f aca="false">IF(V$3=0,-acq_total,0)</f>
        <v>0</v>
      </c>
      <c r="W5" s="5" t="n">
        <f aca="false">IF(W$3=0,-acq_total,0)</f>
        <v>0</v>
      </c>
      <c r="X5" s="5" t="n">
        <f aca="false">IF(X$3=0,-acq_total,0)</f>
        <v>0</v>
      </c>
      <c r="Y5" s="5" t="n">
        <f aca="false">IF(Y$3=0,-acq_total,0)</f>
        <v>0</v>
      </c>
      <c r="Z5" s="5" t="n">
        <f aca="false">IF(Z$3=0,-acq_total,0)</f>
        <v>0</v>
      </c>
    </row>
    <row r="6" customFormat="false" ht="15" hidden="false" customHeight="false" outlineLevel="0" collapsed="false">
      <c r="A6" s="4" t="s">
        <v>117</v>
      </c>
      <c r="B6" s="5" t="n">
        <f aca="false">IF(AND(B$3&gt;=1,B$3&lt;=capex_months,B$3&lt;=sale_month),-capex_total/capex_months,0)</f>
        <v>0</v>
      </c>
      <c r="C6" s="5" t="n">
        <f aca="false">IF(AND(C$3&gt;=1,C$3&lt;=capex_months,C$3&lt;=sale_month),-capex_total/capex_months,0)</f>
        <v>-25906.1</v>
      </c>
      <c r="D6" s="5" t="n">
        <f aca="false">IF(AND(D$3&gt;=1,D$3&lt;=capex_months,D$3&lt;=sale_month),-capex_total/capex_months,0)</f>
        <v>-25906.1</v>
      </c>
      <c r="E6" s="5" t="n">
        <f aca="false">IF(AND(E$3&gt;=1,E$3&lt;=capex_months,E$3&lt;=sale_month),-capex_total/capex_months,0)</f>
        <v>0</v>
      </c>
      <c r="F6" s="5" t="n">
        <f aca="false">IF(AND(F$3&gt;=1,F$3&lt;=capex_months,F$3&lt;=sale_month),-capex_total/capex_months,0)</f>
        <v>0</v>
      </c>
      <c r="G6" s="5" t="n">
        <f aca="false">IF(AND(G$3&gt;=1,G$3&lt;=capex_months,G$3&lt;=sale_month),-capex_total/capex_months,0)</f>
        <v>0</v>
      </c>
      <c r="H6" s="5" t="n">
        <f aca="false">IF(AND(H$3&gt;=1,H$3&lt;=capex_months,H$3&lt;=sale_month),-capex_total/capex_months,0)</f>
        <v>0</v>
      </c>
      <c r="I6" s="5" t="n">
        <f aca="false">IF(AND(I$3&gt;=1,I$3&lt;=capex_months,I$3&lt;=sale_month),-capex_total/capex_months,0)</f>
        <v>0</v>
      </c>
      <c r="J6" s="5" t="n">
        <f aca="false">IF(AND(J$3&gt;=1,J$3&lt;=capex_months,J$3&lt;=sale_month),-capex_total/capex_months,0)</f>
        <v>0</v>
      </c>
      <c r="K6" s="5" t="n">
        <f aca="false">IF(AND(K$3&gt;=1,K$3&lt;=capex_months,K$3&lt;=sale_month),-capex_total/capex_months,0)</f>
        <v>0</v>
      </c>
      <c r="L6" s="5" t="n">
        <f aca="false">IF(AND(L$3&gt;=1,L$3&lt;=capex_months,L$3&lt;=sale_month),-capex_total/capex_months,0)</f>
        <v>0</v>
      </c>
      <c r="M6" s="5" t="n">
        <f aca="false">IF(AND(M$3&gt;=1,M$3&lt;=capex_months,M$3&lt;=sale_month),-capex_total/capex_months,0)</f>
        <v>0</v>
      </c>
      <c r="N6" s="5" t="n">
        <f aca="false">IF(AND(N$3&gt;=1,N$3&lt;=capex_months,N$3&lt;=sale_month),-capex_total/capex_months,0)</f>
        <v>0</v>
      </c>
      <c r="O6" s="5" t="n">
        <f aca="false">IF(AND(O$3&gt;=1,O$3&lt;=capex_months,O$3&lt;=sale_month),-capex_total/capex_months,0)</f>
        <v>0</v>
      </c>
      <c r="P6" s="5" t="n">
        <f aca="false">IF(AND(P$3&gt;=1,P$3&lt;=capex_months,P$3&lt;=sale_month),-capex_total/capex_months,0)</f>
        <v>0</v>
      </c>
      <c r="Q6" s="5" t="n">
        <f aca="false">IF(AND(Q$3&gt;=1,Q$3&lt;=capex_months,Q$3&lt;=sale_month),-capex_total/capex_months,0)</f>
        <v>0</v>
      </c>
      <c r="R6" s="5" t="n">
        <f aca="false">IF(AND(R$3&gt;=1,R$3&lt;=capex_months,R$3&lt;=sale_month),-capex_total/capex_months,0)</f>
        <v>0</v>
      </c>
      <c r="S6" s="5" t="n">
        <f aca="false">IF(AND(S$3&gt;=1,S$3&lt;=capex_months,S$3&lt;=sale_month),-capex_total/capex_months,0)</f>
        <v>0</v>
      </c>
      <c r="T6" s="5" t="n">
        <f aca="false">IF(AND(T$3&gt;=1,T$3&lt;=capex_months,T$3&lt;=sale_month),-capex_total/capex_months,0)</f>
        <v>0</v>
      </c>
      <c r="U6" s="5" t="n">
        <f aca="false">IF(AND(U$3&gt;=1,U$3&lt;=capex_months,U$3&lt;=sale_month),-capex_total/capex_months,0)</f>
        <v>0</v>
      </c>
      <c r="V6" s="5" t="n">
        <f aca="false">IF(AND(V$3&gt;=1,V$3&lt;=capex_months,V$3&lt;=sale_month),-capex_total/capex_months,0)</f>
        <v>0</v>
      </c>
      <c r="W6" s="5" t="n">
        <f aca="false">IF(AND(W$3&gt;=1,W$3&lt;=capex_months,W$3&lt;=sale_month),-capex_total/capex_months,0)</f>
        <v>0</v>
      </c>
      <c r="X6" s="5" t="n">
        <f aca="false">IF(AND(X$3&gt;=1,X$3&lt;=capex_months,X$3&lt;=sale_month),-capex_total/capex_months,0)</f>
        <v>0</v>
      </c>
      <c r="Y6" s="5" t="n">
        <f aca="false">IF(AND(Y$3&gt;=1,Y$3&lt;=capex_months,Y$3&lt;=sale_month),-capex_total/capex_months,0)</f>
        <v>0</v>
      </c>
      <c r="Z6" s="5" t="n">
        <f aca="false">IF(AND(Z$3&gt;=1,Z$3&lt;=capex_months,Z$3&lt;=sale_month),-capex_total/capex_months,0)</f>
        <v>0</v>
      </c>
    </row>
    <row r="7" customFormat="false" ht="15" hidden="false" customHeight="false" outlineLevel="0" collapsed="false">
      <c r="A7" s="4" t="s">
        <v>78</v>
      </c>
      <c r="B7" s="5" t="n">
        <f aca="false">IF(AND(B$3&gt;=1,B$3&lt;=sale_month),-buy_price*holding_pct/12,0)</f>
        <v>0</v>
      </c>
      <c r="C7" s="5" t="n">
        <f aca="false">IF(AND(C$3&gt;=1,C$3&lt;=sale_month),-buy_price*holding_pct/12,0)</f>
        <v>-575</v>
      </c>
      <c r="D7" s="5" t="n">
        <f aca="false">IF(AND(D$3&gt;=1,D$3&lt;=sale_month),-buy_price*holding_pct/12,0)</f>
        <v>-575</v>
      </c>
      <c r="E7" s="5" t="n">
        <f aca="false">IF(AND(E$3&gt;=1,E$3&lt;=sale_month),-buy_price*holding_pct/12,0)</f>
        <v>-575</v>
      </c>
      <c r="F7" s="5" t="n">
        <f aca="false">IF(AND(F$3&gt;=1,F$3&lt;=sale_month),-buy_price*holding_pct/12,0)</f>
        <v>-575</v>
      </c>
      <c r="G7" s="5" t="n">
        <f aca="false">IF(AND(G$3&gt;=1,G$3&lt;=sale_month),-buy_price*holding_pct/12,0)</f>
        <v>-575</v>
      </c>
      <c r="H7" s="5" t="n">
        <f aca="false">IF(AND(H$3&gt;=1,H$3&lt;=sale_month),-buy_price*holding_pct/12,0)</f>
        <v>-575</v>
      </c>
      <c r="I7" s="5" t="n">
        <f aca="false">IF(AND(I$3&gt;=1,I$3&lt;=sale_month),-buy_price*holding_pct/12,0)</f>
        <v>-575</v>
      </c>
      <c r="J7" s="5" t="n">
        <f aca="false">IF(AND(J$3&gt;=1,J$3&lt;=sale_month),-buy_price*holding_pct/12,0)</f>
        <v>-575</v>
      </c>
      <c r="K7" s="5" t="n">
        <f aca="false">IF(AND(K$3&gt;=1,K$3&lt;=sale_month),-buy_price*holding_pct/12,0)</f>
        <v>-575</v>
      </c>
      <c r="L7" s="5" t="n">
        <f aca="false">IF(AND(L$3&gt;=1,L$3&lt;=sale_month),-buy_price*holding_pct/12,0)</f>
        <v>-575</v>
      </c>
      <c r="M7" s="5" t="n">
        <f aca="false">IF(AND(M$3&gt;=1,M$3&lt;=sale_month),-buy_price*holding_pct/12,0)</f>
        <v>-575</v>
      </c>
      <c r="N7" s="5" t="n">
        <f aca="false">IF(AND(N$3&gt;=1,N$3&lt;=sale_month),-buy_price*holding_pct/12,0)</f>
        <v>-575</v>
      </c>
      <c r="O7" s="5" t="n">
        <f aca="false">IF(AND(O$3&gt;=1,O$3&lt;=sale_month),-buy_price*holding_pct/12,0)</f>
        <v>0</v>
      </c>
      <c r="P7" s="5" t="n">
        <f aca="false">IF(AND(P$3&gt;=1,P$3&lt;=sale_month),-buy_price*holding_pct/12,0)</f>
        <v>0</v>
      </c>
      <c r="Q7" s="5" t="n">
        <f aca="false">IF(AND(Q$3&gt;=1,Q$3&lt;=sale_month),-buy_price*holding_pct/12,0)</f>
        <v>0</v>
      </c>
      <c r="R7" s="5" t="n">
        <f aca="false">IF(AND(R$3&gt;=1,R$3&lt;=sale_month),-buy_price*holding_pct/12,0)</f>
        <v>0</v>
      </c>
      <c r="S7" s="5" t="n">
        <f aca="false">IF(AND(S$3&gt;=1,S$3&lt;=sale_month),-buy_price*holding_pct/12,0)</f>
        <v>0</v>
      </c>
      <c r="T7" s="5" t="n">
        <f aca="false">IF(AND(T$3&gt;=1,T$3&lt;=sale_month),-buy_price*holding_pct/12,0)</f>
        <v>0</v>
      </c>
      <c r="U7" s="5" t="n">
        <f aca="false">IF(AND(U$3&gt;=1,U$3&lt;=sale_month),-buy_price*holding_pct/12,0)</f>
        <v>0</v>
      </c>
      <c r="V7" s="5" t="n">
        <f aca="false">IF(AND(V$3&gt;=1,V$3&lt;=sale_month),-buy_price*holding_pct/12,0)</f>
        <v>0</v>
      </c>
      <c r="W7" s="5" t="n">
        <f aca="false">IF(AND(W$3&gt;=1,W$3&lt;=sale_month),-buy_price*holding_pct/12,0)</f>
        <v>0</v>
      </c>
      <c r="X7" s="5" t="n">
        <f aca="false">IF(AND(X$3&gt;=1,X$3&lt;=sale_month),-buy_price*holding_pct/12,0)</f>
        <v>0</v>
      </c>
      <c r="Y7" s="5" t="n">
        <f aca="false">IF(AND(Y$3&gt;=1,Y$3&lt;=sale_month),-buy_price*holding_pct/12,0)</f>
        <v>0</v>
      </c>
      <c r="Z7" s="5" t="n">
        <f aca="false">IF(AND(Z$3&gt;=1,Z$3&lt;=sale_month),-buy_price*holding_pct/12,0)</f>
        <v>0</v>
      </c>
    </row>
    <row r="8" customFormat="false" ht="15" hidden="false" customHeight="false" outlineLevel="0" collapsed="false">
      <c r="A8" s="4" t="s">
        <v>118</v>
      </c>
      <c r="B8" s="5" t="n">
        <f aca="false">IF(AND(B$3&gt;=1,B$3&lt;lease_month,B$3&lt;=sale_month),-void_m2*area_vvo/12,0)</f>
        <v>0</v>
      </c>
      <c r="C8" s="5" t="n">
        <f aca="false">IF(AND(C$3&gt;=1,C$3&lt;lease_month,C$3&lt;=sale_month),-void_m2*area_vvo/12,0)</f>
        <v>-504</v>
      </c>
      <c r="D8" s="5" t="n">
        <f aca="false">IF(AND(D$3&gt;=1,D$3&lt;lease_month,D$3&lt;=sale_month),-void_m2*area_vvo/12,0)</f>
        <v>-504</v>
      </c>
      <c r="E8" s="5" t="n">
        <f aca="false">IF(AND(E$3&gt;=1,E$3&lt;lease_month,E$3&lt;=sale_month),-void_m2*area_vvo/12,0)</f>
        <v>-504</v>
      </c>
      <c r="F8" s="5" t="n">
        <f aca="false">IF(AND(F$3&gt;=1,F$3&lt;lease_month,F$3&lt;=sale_month),-void_m2*area_vvo/12,0)</f>
        <v>-504</v>
      </c>
      <c r="G8" s="5" t="n">
        <f aca="false">IF(AND(G$3&gt;=1,G$3&lt;lease_month,G$3&lt;=sale_month),-void_m2*area_vvo/12,0)</f>
        <v>0</v>
      </c>
      <c r="H8" s="5" t="n">
        <f aca="false">IF(AND(H$3&gt;=1,H$3&lt;lease_month,H$3&lt;=sale_month),-void_m2*area_vvo/12,0)</f>
        <v>0</v>
      </c>
      <c r="I8" s="5" t="n">
        <f aca="false">IF(AND(I$3&gt;=1,I$3&lt;lease_month,I$3&lt;=sale_month),-void_m2*area_vvo/12,0)</f>
        <v>0</v>
      </c>
      <c r="J8" s="5" t="n">
        <f aca="false">IF(AND(J$3&gt;=1,J$3&lt;lease_month,J$3&lt;=sale_month),-void_m2*area_vvo/12,0)</f>
        <v>0</v>
      </c>
      <c r="K8" s="5" t="n">
        <f aca="false">IF(AND(K$3&gt;=1,K$3&lt;lease_month,K$3&lt;=sale_month),-void_m2*area_vvo/12,0)</f>
        <v>0</v>
      </c>
      <c r="L8" s="5" t="n">
        <f aca="false">IF(AND(L$3&gt;=1,L$3&lt;lease_month,L$3&lt;=sale_month),-void_m2*area_vvo/12,0)</f>
        <v>0</v>
      </c>
      <c r="M8" s="5" t="n">
        <f aca="false">IF(AND(M$3&gt;=1,M$3&lt;lease_month,M$3&lt;=sale_month),-void_m2*area_vvo/12,0)</f>
        <v>0</v>
      </c>
      <c r="N8" s="5" t="n">
        <f aca="false">IF(AND(N$3&gt;=1,N$3&lt;lease_month,N$3&lt;=sale_month),-void_m2*area_vvo/12,0)</f>
        <v>0</v>
      </c>
      <c r="O8" s="5" t="n">
        <f aca="false">IF(AND(O$3&gt;=1,O$3&lt;lease_month,O$3&lt;=sale_month),-void_m2*area_vvo/12,0)</f>
        <v>0</v>
      </c>
      <c r="P8" s="5" t="n">
        <f aca="false">IF(AND(P$3&gt;=1,P$3&lt;lease_month,P$3&lt;=sale_month),-void_m2*area_vvo/12,0)</f>
        <v>0</v>
      </c>
      <c r="Q8" s="5" t="n">
        <f aca="false">IF(AND(Q$3&gt;=1,Q$3&lt;lease_month,Q$3&lt;=sale_month),-void_m2*area_vvo/12,0)</f>
        <v>0</v>
      </c>
      <c r="R8" s="5" t="n">
        <f aca="false">IF(AND(R$3&gt;=1,R$3&lt;lease_month,R$3&lt;=sale_month),-void_m2*area_vvo/12,0)</f>
        <v>0</v>
      </c>
      <c r="S8" s="5" t="n">
        <f aca="false">IF(AND(S$3&gt;=1,S$3&lt;lease_month,S$3&lt;=sale_month),-void_m2*area_vvo/12,0)</f>
        <v>0</v>
      </c>
      <c r="T8" s="5" t="n">
        <f aca="false">IF(AND(T$3&gt;=1,T$3&lt;lease_month,T$3&lt;=sale_month),-void_m2*area_vvo/12,0)</f>
        <v>0</v>
      </c>
      <c r="U8" s="5" t="n">
        <f aca="false">IF(AND(U$3&gt;=1,U$3&lt;lease_month,U$3&lt;=sale_month),-void_m2*area_vvo/12,0)</f>
        <v>0</v>
      </c>
      <c r="V8" s="5" t="n">
        <f aca="false">IF(AND(V$3&gt;=1,V$3&lt;lease_month,V$3&lt;=sale_month),-void_m2*area_vvo/12,0)</f>
        <v>0</v>
      </c>
      <c r="W8" s="5" t="n">
        <f aca="false">IF(AND(W$3&gt;=1,W$3&lt;lease_month,W$3&lt;=sale_month),-void_m2*area_vvo/12,0)</f>
        <v>0</v>
      </c>
      <c r="X8" s="5" t="n">
        <f aca="false">IF(AND(X$3&gt;=1,X$3&lt;lease_month,X$3&lt;=sale_month),-void_m2*area_vvo/12,0)</f>
        <v>0</v>
      </c>
      <c r="Y8" s="5" t="n">
        <f aca="false">IF(AND(Y$3&gt;=1,Y$3&lt;lease_month,Y$3&lt;=sale_month),-void_m2*area_vvo/12,0)</f>
        <v>0</v>
      </c>
      <c r="Z8" s="5" t="n">
        <f aca="false">IF(AND(Z$3&gt;=1,Z$3&lt;lease_month,Z$3&lt;=sale_month),-void_m2*area_vvo/12,0)</f>
        <v>0</v>
      </c>
    </row>
    <row r="9" customFormat="false" ht="15" hidden="false" customHeight="false" outlineLevel="0" collapsed="false">
      <c r="A9" s="4" t="s">
        <v>119</v>
      </c>
      <c r="B9" s="5" t="n">
        <f aca="false">IF(AND(B$3=lease_month,B$3&lt;=sale_month),-(rent_eff*letting_fee+marketing),0)</f>
        <v>0</v>
      </c>
      <c r="C9" s="5" t="n">
        <f aca="false">IF(AND(C$3=lease_month,C$3&lt;=sale_month),-(rent_eff*letting_fee+marketing),0)</f>
        <v>0</v>
      </c>
      <c r="D9" s="5" t="n">
        <f aca="false">IF(AND(D$3=lease_month,D$3&lt;=sale_month),-(rent_eff*letting_fee+marketing),0)</f>
        <v>0</v>
      </c>
      <c r="E9" s="5" t="n">
        <f aca="false">IF(AND(E$3=lease_month,E$3&lt;=sale_month),-(rent_eff*letting_fee+marketing),0)</f>
        <v>0</v>
      </c>
      <c r="F9" s="5" t="n">
        <f aca="false">IF(AND(F$3=lease_month,F$3&lt;=sale_month),-(rent_eff*letting_fee+marketing),0)</f>
        <v>0</v>
      </c>
      <c r="G9" s="5" t="n">
        <f aca="false">IF(AND(G$3=lease_month,G$3&lt;=sale_month),-(rent_eff*letting_fee+marketing),0)</f>
        <v>-20343.75</v>
      </c>
      <c r="H9" s="5" t="n">
        <f aca="false">IF(AND(H$3=lease_month,H$3&lt;=sale_month),-(rent_eff*letting_fee+marketing),0)</f>
        <v>0</v>
      </c>
      <c r="I9" s="5" t="n">
        <f aca="false">IF(AND(I$3=lease_month,I$3&lt;=sale_month),-(rent_eff*letting_fee+marketing),0)</f>
        <v>0</v>
      </c>
      <c r="J9" s="5" t="n">
        <f aca="false">IF(AND(J$3=lease_month,J$3&lt;=sale_month),-(rent_eff*letting_fee+marketing),0)</f>
        <v>0</v>
      </c>
      <c r="K9" s="5" t="n">
        <f aca="false">IF(AND(K$3=lease_month,K$3&lt;=sale_month),-(rent_eff*letting_fee+marketing),0)</f>
        <v>0</v>
      </c>
      <c r="L9" s="5" t="n">
        <f aca="false">IF(AND(L$3=lease_month,L$3&lt;=sale_month),-(rent_eff*letting_fee+marketing),0)</f>
        <v>0</v>
      </c>
      <c r="M9" s="5" t="n">
        <f aca="false">IF(AND(M$3=lease_month,M$3&lt;=sale_month),-(rent_eff*letting_fee+marketing),0)</f>
        <v>0</v>
      </c>
      <c r="N9" s="5" t="n">
        <f aca="false">IF(AND(N$3=lease_month,N$3&lt;=sale_month),-(rent_eff*letting_fee+marketing),0)</f>
        <v>0</v>
      </c>
      <c r="O9" s="5" t="n">
        <f aca="false">IF(AND(O$3=lease_month,O$3&lt;=sale_month),-(rent_eff*letting_fee+marketing),0)</f>
        <v>0</v>
      </c>
      <c r="P9" s="5" t="n">
        <f aca="false">IF(AND(P$3=lease_month,P$3&lt;=sale_month),-(rent_eff*letting_fee+marketing),0)</f>
        <v>0</v>
      </c>
      <c r="Q9" s="5" t="n">
        <f aca="false">IF(AND(Q$3=lease_month,Q$3&lt;=sale_month),-(rent_eff*letting_fee+marketing),0)</f>
        <v>0</v>
      </c>
      <c r="R9" s="5" t="n">
        <f aca="false">IF(AND(R$3=lease_month,R$3&lt;=sale_month),-(rent_eff*letting_fee+marketing),0)</f>
        <v>0</v>
      </c>
      <c r="S9" s="5" t="n">
        <f aca="false">IF(AND(S$3=lease_month,S$3&lt;=sale_month),-(rent_eff*letting_fee+marketing),0)</f>
        <v>0</v>
      </c>
      <c r="T9" s="5" t="n">
        <f aca="false">IF(AND(T$3=lease_month,T$3&lt;=sale_month),-(rent_eff*letting_fee+marketing),0)</f>
        <v>0</v>
      </c>
      <c r="U9" s="5" t="n">
        <f aca="false">IF(AND(U$3=lease_month,U$3&lt;=sale_month),-(rent_eff*letting_fee+marketing),0)</f>
        <v>0</v>
      </c>
      <c r="V9" s="5" t="n">
        <f aca="false">IF(AND(V$3=lease_month,V$3&lt;=sale_month),-(rent_eff*letting_fee+marketing),0)</f>
        <v>0</v>
      </c>
      <c r="W9" s="5" t="n">
        <f aca="false">IF(AND(W$3=lease_month,W$3&lt;=sale_month),-(rent_eff*letting_fee+marketing),0)</f>
        <v>0</v>
      </c>
      <c r="X9" s="5" t="n">
        <f aca="false">IF(AND(X$3=lease_month,X$3&lt;=sale_month),-(rent_eff*letting_fee+marketing),0)</f>
        <v>0</v>
      </c>
      <c r="Y9" s="5" t="n">
        <f aca="false">IF(AND(Y$3=lease_month,Y$3&lt;=sale_month),-(rent_eff*letting_fee+marketing),0)</f>
        <v>0</v>
      </c>
      <c r="Z9" s="5" t="n">
        <f aca="false">IF(AND(Z$3=lease_month,Z$3&lt;=sale_month),-(rent_eff*letting_fee+marketing),0)</f>
        <v>0</v>
      </c>
    </row>
    <row r="10" customFormat="false" ht="15" hidden="false" customHeight="false" outlineLevel="0" collapsed="false">
      <c r="A10" s="4" t="s">
        <v>120</v>
      </c>
      <c r="B10" s="5" t="n">
        <f aca="false">IF(AND(B$3&gt;=1,B$3&gt;=first_paid,B$3&lt;=sale_month),rent_eff/12,0)</f>
        <v>0</v>
      </c>
      <c r="C10" s="5" t="n">
        <f aca="false">IF(AND(C$3&gt;=1,C$3&gt;=first_paid,C$3&lt;=sale_month),rent_eff/12,0)</f>
        <v>0</v>
      </c>
      <c r="D10" s="5" t="n">
        <f aca="false">IF(AND(D$3&gt;=1,D$3&gt;=first_paid,D$3&lt;=sale_month),rent_eff/12,0)</f>
        <v>0</v>
      </c>
      <c r="E10" s="5" t="n">
        <f aca="false">IF(AND(E$3&gt;=1,E$3&gt;=first_paid,E$3&lt;=sale_month),rent_eff/12,0)</f>
        <v>0</v>
      </c>
      <c r="F10" s="5" t="n">
        <f aca="false">IF(AND(F$3&gt;=1,F$3&gt;=first_paid,F$3&lt;=sale_month),rent_eff/12,0)</f>
        <v>0</v>
      </c>
      <c r="G10" s="5" t="n">
        <f aca="false">IF(AND(G$3&gt;=1,G$3&gt;=first_paid,G$3&lt;=sale_month),rent_eff/12,0)</f>
        <v>0</v>
      </c>
      <c r="H10" s="5" t="n">
        <f aca="false">IF(AND(H$3&gt;=1,H$3&gt;=first_paid,H$3&lt;=sale_month),rent_eff/12,0)</f>
        <v>0</v>
      </c>
      <c r="I10" s="5" t="n">
        <f aca="false">IF(AND(I$3&gt;=1,I$3&gt;=first_paid,I$3&lt;=sale_month),rent_eff/12,0)</f>
        <v>0</v>
      </c>
      <c r="J10" s="5" t="n">
        <f aca="false">IF(AND(J$3&gt;=1,J$3&gt;=first_paid,J$3&lt;=sale_month),rent_eff/12,0)</f>
        <v>10468.75</v>
      </c>
      <c r="K10" s="5" t="n">
        <f aca="false">IF(AND(K$3&gt;=1,K$3&gt;=first_paid,K$3&lt;=sale_month),rent_eff/12,0)</f>
        <v>10468.75</v>
      </c>
      <c r="L10" s="5" t="n">
        <f aca="false">IF(AND(L$3&gt;=1,L$3&gt;=first_paid,L$3&lt;=sale_month),rent_eff/12,0)</f>
        <v>10468.75</v>
      </c>
      <c r="M10" s="5" t="n">
        <f aca="false">IF(AND(M$3&gt;=1,M$3&gt;=first_paid,M$3&lt;=sale_month),rent_eff/12,0)</f>
        <v>10468.75</v>
      </c>
      <c r="N10" s="5" t="n">
        <f aca="false">IF(AND(N$3&gt;=1,N$3&gt;=first_paid,N$3&lt;=sale_month),rent_eff/12,0)</f>
        <v>10468.75</v>
      </c>
      <c r="O10" s="5" t="n">
        <f aca="false">IF(AND(O$3&gt;=1,O$3&gt;=first_paid,O$3&lt;=sale_month),rent_eff/12,0)</f>
        <v>0</v>
      </c>
      <c r="P10" s="5" t="n">
        <f aca="false">IF(AND(P$3&gt;=1,P$3&gt;=first_paid,P$3&lt;=sale_month),rent_eff/12,0)</f>
        <v>0</v>
      </c>
      <c r="Q10" s="5" t="n">
        <f aca="false">IF(AND(Q$3&gt;=1,Q$3&gt;=first_paid,Q$3&lt;=sale_month),rent_eff/12,0)</f>
        <v>0</v>
      </c>
      <c r="R10" s="5" t="n">
        <f aca="false">IF(AND(R$3&gt;=1,R$3&gt;=first_paid,R$3&lt;=sale_month),rent_eff/12,0)</f>
        <v>0</v>
      </c>
      <c r="S10" s="5" t="n">
        <f aca="false">IF(AND(S$3&gt;=1,S$3&gt;=first_paid,S$3&lt;=sale_month),rent_eff/12,0)</f>
        <v>0</v>
      </c>
      <c r="T10" s="5" t="n">
        <f aca="false">IF(AND(T$3&gt;=1,T$3&gt;=first_paid,T$3&lt;=sale_month),rent_eff/12,0)</f>
        <v>0</v>
      </c>
      <c r="U10" s="5" t="n">
        <f aca="false">IF(AND(U$3&gt;=1,U$3&gt;=first_paid,U$3&lt;=sale_month),rent_eff/12,0)</f>
        <v>0</v>
      </c>
      <c r="V10" s="5" t="n">
        <f aca="false">IF(AND(V$3&gt;=1,V$3&gt;=first_paid,V$3&lt;=sale_month),rent_eff/12,0)</f>
        <v>0</v>
      </c>
      <c r="W10" s="5" t="n">
        <f aca="false">IF(AND(W$3&gt;=1,W$3&gt;=first_paid,W$3&lt;=sale_month),rent_eff/12,0)</f>
        <v>0</v>
      </c>
      <c r="X10" s="5" t="n">
        <f aca="false">IF(AND(X$3&gt;=1,X$3&gt;=first_paid,X$3&lt;=sale_month),rent_eff/12,0)</f>
        <v>0</v>
      </c>
      <c r="Y10" s="5" t="n">
        <f aca="false">IF(AND(Y$3&gt;=1,Y$3&gt;=first_paid,Y$3&lt;=sale_month),rent_eff/12,0)</f>
        <v>0</v>
      </c>
      <c r="Z10" s="5" t="n">
        <f aca="false">IF(AND(Z$3&gt;=1,Z$3&gt;=first_paid,Z$3&lt;=sale_month),rent_eff/12,0)</f>
        <v>0</v>
      </c>
    </row>
    <row r="11" customFormat="false" ht="15" hidden="false" customHeight="false" outlineLevel="0" collapsed="false">
      <c r="A11" s="4" t="s">
        <v>121</v>
      </c>
      <c r="B11" s="5" t="n">
        <f aca="false">IF(AND(B$3&gt;=1,B$3&lt;=sale_month),-loan*loan_rate/12,0)</f>
        <v>0</v>
      </c>
      <c r="C11" s="5" t="n">
        <f aca="false">IF(AND(C$3&gt;=1,C$3&lt;=sale_month),-loan*loan_rate/12,0)</f>
        <v>-0</v>
      </c>
      <c r="D11" s="5" t="n">
        <f aca="false">IF(AND(D$3&gt;=1,D$3&lt;=sale_month),-loan*loan_rate/12,0)</f>
        <v>-0</v>
      </c>
      <c r="E11" s="5" t="n">
        <f aca="false">IF(AND(E$3&gt;=1,E$3&lt;=sale_month),-loan*loan_rate/12,0)</f>
        <v>-0</v>
      </c>
      <c r="F11" s="5" t="n">
        <f aca="false">IF(AND(F$3&gt;=1,F$3&lt;=sale_month),-loan*loan_rate/12,0)</f>
        <v>-0</v>
      </c>
      <c r="G11" s="5" t="n">
        <f aca="false">IF(AND(G$3&gt;=1,G$3&lt;=sale_month),-loan*loan_rate/12,0)</f>
        <v>-0</v>
      </c>
      <c r="H11" s="5" t="n">
        <f aca="false">IF(AND(H$3&gt;=1,H$3&lt;=sale_month),-loan*loan_rate/12,0)</f>
        <v>-0</v>
      </c>
      <c r="I11" s="5" t="n">
        <f aca="false">IF(AND(I$3&gt;=1,I$3&lt;=sale_month),-loan*loan_rate/12,0)</f>
        <v>-0</v>
      </c>
      <c r="J11" s="5" t="n">
        <f aca="false">IF(AND(J$3&gt;=1,J$3&lt;=sale_month),-loan*loan_rate/12,0)</f>
        <v>-0</v>
      </c>
      <c r="K11" s="5" t="n">
        <f aca="false">IF(AND(K$3&gt;=1,K$3&lt;=sale_month),-loan*loan_rate/12,0)</f>
        <v>-0</v>
      </c>
      <c r="L11" s="5" t="n">
        <f aca="false">IF(AND(L$3&gt;=1,L$3&lt;=sale_month),-loan*loan_rate/12,0)</f>
        <v>-0</v>
      </c>
      <c r="M11" s="5" t="n">
        <f aca="false">IF(AND(M$3&gt;=1,M$3&lt;=sale_month),-loan*loan_rate/12,0)</f>
        <v>-0</v>
      </c>
      <c r="N11" s="5" t="n">
        <f aca="false">IF(AND(N$3&gt;=1,N$3&lt;=sale_month),-loan*loan_rate/12,0)</f>
        <v>-0</v>
      </c>
      <c r="O11" s="5" t="n">
        <f aca="false">IF(AND(O$3&gt;=1,O$3&lt;=sale_month),-loan*loan_rate/12,0)</f>
        <v>0</v>
      </c>
      <c r="P11" s="5" t="n">
        <f aca="false">IF(AND(P$3&gt;=1,P$3&lt;=sale_month),-loan*loan_rate/12,0)</f>
        <v>0</v>
      </c>
      <c r="Q11" s="5" t="n">
        <f aca="false">IF(AND(Q$3&gt;=1,Q$3&lt;=sale_month),-loan*loan_rate/12,0)</f>
        <v>0</v>
      </c>
      <c r="R11" s="5" t="n">
        <f aca="false">IF(AND(R$3&gt;=1,R$3&lt;=sale_month),-loan*loan_rate/12,0)</f>
        <v>0</v>
      </c>
      <c r="S11" s="5" t="n">
        <f aca="false">IF(AND(S$3&gt;=1,S$3&lt;=sale_month),-loan*loan_rate/12,0)</f>
        <v>0</v>
      </c>
      <c r="T11" s="5" t="n">
        <f aca="false">IF(AND(T$3&gt;=1,T$3&lt;=sale_month),-loan*loan_rate/12,0)</f>
        <v>0</v>
      </c>
      <c r="U11" s="5" t="n">
        <f aca="false">IF(AND(U$3&gt;=1,U$3&lt;=sale_month),-loan*loan_rate/12,0)</f>
        <v>0</v>
      </c>
      <c r="V11" s="5" t="n">
        <f aca="false">IF(AND(V$3&gt;=1,V$3&lt;=sale_month),-loan*loan_rate/12,0)</f>
        <v>0</v>
      </c>
      <c r="W11" s="5" t="n">
        <f aca="false">IF(AND(W$3&gt;=1,W$3&lt;=sale_month),-loan*loan_rate/12,0)</f>
        <v>0</v>
      </c>
      <c r="X11" s="5" t="n">
        <f aca="false">IF(AND(X$3&gt;=1,X$3&lt;=sale_month),-loan*loan_rate/12,0)</f>
        <v>0</v>
      </c>
      <c r="Y11" s="5" t="n">
        <f aca="false">IF(AND(Y$3&gt;=1,Y$3&lt;=sale_month),-loan*loan_rate/12,0)</f>
        <v>0</v>
      </c>
      <c r="Z11" s="5" t="n">
        <f aca="false">IF(AND(Z$3&gt;=1,Z$3&lt;=sale_month),-loan*loan_rate/12,0)</f>
        <v>0</v>
      </c>
    </row>
    <row r="12" customFormat="false" ht="15" hidden="false" customHeight="false" outlineLevel="0" collapsed="false">
      <c r="A12" s="4" t="s">
        <v>122</v>
      </c>
      <c r="B12" s="5" t="n">
        <f aca="false">IF(B$3=0,loan,0)-IF(B$3=sale_month,loan,0)</f>
        <v>0</v>
      </c>
      <c r="C12" s="5" t="n">
        <f aca="false">IF(C$3=0,loan,0)-IF(C$3=sale_month,loan,0)</f>
        <v>0</v>
      </c>
      <c r="D12" s="5" t="n">
        <f aca="false">IF(D$3=0,loan,0)-IF(D$3=sale_month,loan,0)</f>
        <v>0</v>
      </c>
      <c r="E12" s="5" t="n">
        <f aca="false">IF(E$3=0,loan,0)-IF(E$3=sale_month,loan,0)</f>
        <v>0</v>
      </c>
      <c r="F12" s="5" t="n">
        <f aca="false">IF(F$3=0,loan,0)-IF(F$3=sale_month,loan,0)</f>
        <v>0</v>
      </c>
      <c r="G12" s="5" t="n">
        <f aca="false">IF(G$3=0,loan,0)-IF(G$3=sale_month,loan,0)</f>
        <v>0</v>
      </c>
      <c r="H12" s="5" t="n">
        <f aca="false">IF(H$3=0,loan,0)-IF(H$3=sale_month,loan,0)</f>
        <v>0</v>
      </c>
      <c r="I12" s="5" t="n">
        <f aca="false">IF(I$3=0,loan,0)-IF(I$3=sale_month,loan,0)</f>
        <v>0</v>
      </c>
      <c r="J12" s="5" t="n">
        <f aca="false">IF(J$3=0,loan,0)-IF(J$3=sale_month,loan,0)</f>
        <v>0</v>
      </c>
      <c r="K12" s="5" t="n">
        <f aca="false">IF(K$3=0,loan,0)-IF(K$3=sale_month,loan,0)</f>
        <v>0</v>
      </c>
      <c r="L12" s="5" t="n">
        <f aca="false">IF(L$3=0,loan,0)-IF(L$3=sale_month,loan,0)</f>
        <v>0</v>
      </c>
      <c r="M12" s="5" t="n">
        <f aca="false">IF(M$3=0,loan,0)-IF(M$3=sale_month,loan,0)</f>
        <v>0</v>
      </c>
      <c r="N12" s="5" t="n">
        <f aca="false">IF(N$3=0,loan,0)-IF(N$3=sale_month,loan,0)</f>
        <v>0</v>
      </c>
      <c r="O12" s="5" t="n">
        <f aca="false">IF(O$3=0,loan,0)-IF(O$3=sale_month,loan,0)</f>
        <v>0</v>
      </c>
      <c r="P12" s="5" t="n">
        <f aca="false">IF(P$3=0,loan,0)-IF(P$3=sale_month,loan,0)</f>
        <v>0</v>
      </c>
      <c r="Q12" s="5" t="n">
        <f aca="false">IF(Q$3=0,loan,0)-IF(Q$3=sale_month,loan,0)</f>
        <v>0</v>
      </c>
      <c r="R12" s="5" t="n">
        <f aca="false">IF(R$3=0,loan,0)-IF(R$3=sale_month,loan,0)</f>
        <v>0</v>
      </c>
      <c r="S12" s="5" t="n">
        <f aca="false">IF(S$3=0,loan,0)-IF(S$3=sale_month,loan,0)</f>
        <v>0</v>
      </c>
      <c r="T12" s="5" t="n">
        <f aca="false">IF(T$3=0,loan,0)-IF(T$3=sale_month,loan,0)</f>
        <v>0</v>
      </c>
      <c r="U12" s="5" t="n">
        <f aca="false">IF(U$3=0,loan,0)-IF(U$3=sale_month,loan,0)</f>
        <v>0</v>
      </c>
      <c r="V12" s="5" t="n">
        <f aca="false">IF(V$3=0,loan,0)-IF(V$3=sale_month,loan,0)</f>
        <v>0</v>
      </c>
      <c r="W12" s="5" t="n">
        <f aca="false">IF(W$3=0,loan,0)-IF(W$3=sale_month,loan,0)</f>
        <v>0</v>
      </c>
      <c r="X12" s="5" t="n">
        <f aca="false">IF(X$3=0,loan,0)-IF(X$3=sale_month,loan,0)</f>
        <v>0</v>
      </c>
      <c r="Y12" s="5" t="n">
        <f aca="false">IF(Y$3=0,loan,0)-IF(Y$3=sale_month,loan,0)</f>
        <v>0</v>
      </c>
      <c r="Z12" s="5" t="n">
        <f aca="false">IF(Z$3=0,loan,0)-IF(Z$3=sale_month,loan,0)</f>
        <v>0</v>
      </c>
    </row>
    <row r="13" customFormat="false" ht="15" hidden="false" customHeight="false" outlineLevel="0" collapsed="false">
      <c r="A13" s="4" t="s">
        <v>13</v>
      </c>
      <c r="B13" s="5" t="n">
        <f aca="false">IF(B$3=sale_month,sale_price,0)</f>
        <v>0</v>
      </c>
      <c r="C13" s="5" t="n">
        <f aca="false">IF(C$3=sale_month,sale_price,0)</f>
        <v>0</v>
      </c>
      <c r="D13" s="5" t="n">
        <f aca="false">IF(D$3=sale_month,sale_price,0)</f>
        <v>0</v>
      </c>
      <c r="E13" s="5" t="n">
        <f aca="false">IF(E$3=sale_month,sale_price,0)</f>
        <v>0</v>
      </c>
      <c r="F13" s="5" t="n">
        <f aca="false">IF(F$3=sale_month,sale_price,0)</f>
        <v>0</v>
      </c>
      <c r="G13" s="5" t="n">
        <f aca="false">IF(G$3=sale_month,sale_price,0)</f>
        <v>0</v>
      </c>
      <c r="H13" s="5" t="n">
        <f aca="false">IF(H$3=sale_month,sale_price,0)</f>
        <v>0</v>
      </c>
      <c r="I13" s="5" t="n">
        <f aca="false">IF(I$3=sale_month,sale_price,0)</f>
        <v>0</v>
      </c>
      <c r="J13" s="5" t="n">
        <f aca="false">IF(J$3=sale_month,sale_price,0)</f>
        <v>0</v>
      </c>
      <c r="K13" s="5" t="n">
        <f aca="false">IF(K$3=sale_month,sale_price,0)</f>
        <v>0</v>
      </c>
      <c r="L13" s="5" t="n">
        <f aca="false">IF(L$3=sale_month,sale_price,0)</f>
        <v>0</v>
      </c>
      <c r="M13" s="5" t="n">
        <f aca="false">IF(M$3=sale_month,sale_price,0)</f>
        <v>0</v>
      </c>
      <c r="N13" s="5" t="n">
        <f aca="false">IF(N$3=sale_month,sale_price,0)</f>
        <v>1522727.27272727</v>
      </c>
      <c r="O13" s="5" t="n">
        <f aca="false">IF(O$3=sale_month,sale_price,0)</f>
        <v>0</v>
      </c>
      <c r="P13" s="5" t="n">
        <f aca="false">IF(P$3=sale_month,sale_price,0)</f>
        <v>0</v>
      </c>
      <c r="Q13" s="5" t="n">
        <f aca="false">IF(Q$3=sale_month,sale_price,0)</f>
        <v>0</v>
      </c>
      <c r="R13" s="5" t="n">
        <f aca="false">IF(R$3=sale_month,sale_price,0)</f>
        <v>0</v>
      </c>
      <c r="S13" s="5" t="n">
        <f aca="false">IF(S$3=sale_month,sale_price,0)</f>
        <v>0</v>
      </c>
      <c r="T13" s="5" t="n">
        <f aca="false">IF(T$3=sale_month,sale_price,0)</f>
        <v>0</v>
      </c>
      <c r="U13" s="5" t="n">
        <f aca="false">IF(U$3=sale_month,sale_price,0)</f>
        <v>0</v>
      </c>
      <c r="V13" s="5" t="n">
        <f aca="false">IF(V$3=sale_month,sale_price,0)</f>
        <v>0</v>
      </c>
      <c r="W13" s="5" t="n">
        <f aca="false">IF(W$3=sale_month,sale_price,0)</f>
        <v>0</v>
      </c>
      <c r="X13" s="5" t="n">
        <f aca="false">IF(X$3=sale_month,sale_price,0)</f>
        <v>0</v>
      </c>
      <c r="Y13" s="5" t="n">
        <f aca="false">IF(Y$3=sale_month,sale_price,0)</f>
        <v>0</v>
      </c>
      <c r="Z13" s="5" t="n">
        <f aca="false">IF(Z$3=sale_month,sale_price,0)</f>
        <v>0</v>
      </c>
    </row>
    <row r="14" customFormat="false" ht="15" hidden="false" customHeight="false" outlineLevel="0" collapsed="false">
      <c r="A14" s="4" t="s">
        <v>22</v>
      </c>
      <c r="B14" s="5" t="n">
        <f aca="false">IF(B$3=sale_month,-sale_cost,0)</f>
        <v>0</v>
      </c>
      <c r="C14" s="5" t="n">
        <f aca="false">IF(C$3=sale_month,-sale_cost,0)</f>
        <v>0</v>
      </c>
      <c r="D14" s="5" t="n">
        <f aca="false">IF(D$3=sale_month,-sale_cost,0)</f>
        <v>0</v>
      </c>
      <c r="E14" s="5" t="n">
        <f aca="false">IF(E$3=sale_month,-sale_cost,0)</f>
        <v>0</v>
      </c>
      <c r="F14" s="5" t="n">
        <f aca="false">IF(F$3=sale_month,-sale_cost,0)</f>
        <v>0</v>
      </c>
      <c r="G14" s="5" t="n">
        <f aca="false">IF(G$3=sale_month,-sale_cost,0)</f>
        <v>0</v>
      </c>
      <c r="H14" s="5" t="n">
        <f aca="false">IF(H$3=sale_month,-sale_cost,0)</f>
        <v>0</v>
      </c>
      <c r="I14" s="5" t="n">
        <f aca="false">IF(I$3=sale_month,-sale_cost,0)</f>
        <v>0</v>
      </c>
      <c r="J14" s="5" t="n">
        <f aca="false">IF(J$3=sale_month,-sale_cost,0)</f>
        <v>0</v>
      </c>
      <c r="K14" s="5" t="n">
        <f aca="false">IF(K$3=sale_month,-sale_cost,0)</f>
        <v>0</v>
      </c>
      <c r="L14" s="5" t="n">
        <f aca="false">IF(L$3=sale_month,-sale_cost,0)</f>
        <v>0</v>
      </c>
      <c r="M14" s="5" t="n">
        <f aca="false">IF(M$3=sale_month,-sale_cost,0)</f>
        <v>0</v>
      </c>
      <c r="N14" s="5" t="n">
        <f aca="false">IF(N$3=sale_month,-sale_cost,0)</f>
        <v>-21534.0909090909</v>
      </c>
      <c r="O14" s="5" t="n">
        <f aca="false">IF(O$3=sale_month,-sale_cost,0)</f>
        <v>0</v>
      </c>
      <c r="P14" s="5" t="n">
        <f aca="false">IF(P$3=sale_month,-sale_cost,0)</f>
        <v>0</v>
      </c>
      <c r="Q14" s="5" t="n">
        <f aca="false">IF(Q$3=sale_month,-sale_cost,0)</f>
        <v>0</v>
      </c>
      <c r="R14" s="5" t="n">
        <f aca="false">IF(R$3=sale_month,-sale_cost,0)</f>
        <v>0</v>
      </c>
      <c r="S14" s="5" t="n">
        <f aca="false">IF(S$3=sale_month,-sale_cost,0)</f>
        <v>0</v>
      </c>
      <c r="T14" s="5" t="n">
        <f aca="false">IF(T$3=sale_month,-sale_cost,0)</f>
        <v>0</v>
      </c>
      <c r="U14" s="5" t="n">
        <f aca="false">IF(U$3=sale_month,-sale_cost,0)</f>
        <v>0</v>
      </c>
      <c r="V14" s="5" t="n">
        <f aca="false">IF(V$3=sale_month,-sale_cost,0)</f>
        <v>0</v>
      </c>
      <c r="W14" s="5" t="n">
        <f aca="false">IF(W$3=sale_month,-sale_cost,0)</f>
        <v>0</v>
      </c>
      <c r="X14" s="5" t="n">
        <f aca="false">IF(X$3=sale_month,-sale_cost,0)</f>
        <v>0</v>
      </c>
      <c r="Y14" s="5" t="n">
        <f aca="false">IF(Y$3=sale_month,-sale_cost,0)</f>
        <v>0</v>
      </c>
      <c r="Z14" s="5" t="n">
        <f aca="false">IF(Z$3=sale_month,-sale_cost,0)</f>
        <v>0</v>
      </c>
    </row>
    <row r="15" customFormat="false" ht="15" hidden="false" customHeight="false" outlineLevel="0" collapsed="false">
      <c r="A15" s="6" t="s">
        <v>123</v>
      </c>
      <c r="B15" s="25" t="n">
        <f aca="false">SUM(B5:B14)</f>
        <v>-1292100</v>
      </c>
      <c r="C15" s="25" t="n">
        <f aca="false">SUM(C5:C14)</f>
        <v>-26985.1</v>
      </c>
      <c r="D15" s="25" t="n">
        <f aca="false">SUM(D5:D14)</f>
        <v>-26985.1</v>
      </c>
      <c r="E15" s="25" t="n">
        <f aca="false">SUM(E5:E14)</f>
        <v>-1079</v>
      </c>
      <c r="F15" s="25" t="n">
        <f aca="false">SUM(F5:F14)</f>
        <v>-1079</v>
      </c>
      <c r="G15" s="25" t="n">
        <f aca="false">SUM(G5:G14)</f>
        <v>-20918.75</v>
      </c>
      <c r="H15" s="25" t="n">
        <f aca="false">SUM(H5:H14)</f>
        <v>-575</v>
      </c>
      <c r="I15" s="25" t="n">
        <f aca="false">SUM(I5:I14)</f>
        <v>-575</v>
      </c>
      <c r="J15" s="25" t="n">
        <f aca="false">SUM(J5:J14)</f>
        <v>9893.75</v>
      </c>
      <c r="K15" s="25" t="n">
        <f aca="false">SUM(K5:K14)</f>
        <v>9893.75</v>
      </c>
      <c r="L15" s="25" t="n">
        <f aca="false">SUM(L5:L14)</f>
        <v>9893.75</v>
      </c>
      <c r="M15" s="25" t="n">
        <f aca="false">SUM(M5:M14)</f>
        <v>9893.75</v>
      </c>
      <c r="N15" s="25" t="n">
        <f aca="false">SUM(N5:N14)</f>
        <v>1511086.93181818</v>
      </c>
      <c r="O15" s="25" t="n">
        <f aca="false">SUM(O5:O14)</f>
        <v>0</v>
      </c>
      <c r="P15" s="25" t="n">
        <f aca="false">SUM(P5:P14)</f>
        <v>0</v>
      </c>
      <c r="Q15" s="25" t="n">
        <f aca="false">SUM(Q5:Q14)</f>
        <v>0</v>
      </c>
      <c r="R15" s="25" t="n">
        <f aca="false">SUM(R5:R14)</f>
        <v>0</v>
      </c>
      <c r="S15" s="25" t="n">
        <f aca="false">SUM(S5:S14)</f>
        <v>0</v>
      </c>
      <c r="T15" s="25" t="n">
        <f aca="false">SUM(T5:T14)</f>
        <v>0</v>
      </c>
      <c r="U15" s="25" t="n">
        <f aca="false">SUM(U5:U14)</f>
        <v>0</v>
      </c>
      <c r="V15" s="25" t="n">
        <f aca="false">SUM(V5:V14)</f>
        <v>0</v>
      </c>
      <c r="W15" s="25" t="n">
        <f aca="false">SUM(W5:W14)</f>
        <v>0</v>
      </c>
      <c r="X15" s="25" t="n">
        <f aca="false">SUM(X5:X14)</f>
        <v>0</v>
      </c>
      <c r="Y15" s="25" t="n">
        <f aca="false">SUM(Y5:Y14)</f>
        <v>0</v>
      </c>
      <c r="Z15" s="25" t="n">
        <f aca="false">SUM(Z5:Z14)</f>
        <v>0</v>
      </c>
    </row>
    <row r="16" customFormat="false" ht="15" hidden="false" customHeight="false" outlineLevel="0" collapsed="false">
      <c r="A16" s="6" t="s">
        <v>124</v>
      </c>
      <c r="B16" s="25" t="n">
        <f aca="false">B15</f>
        <v>-1292100</v>
      </c>
      <c r="C16" s="25" t="n">
        <f aca="false">B16+C15</f>
        <v>-1319085.1</v>
      </c>
      <c r="D16" s="25" t="n">
        <f aca="false">C16+D15</f>
        <v>-1346070.2</v>
      </c>
      <c r="E16" s="25" t="n">
        <f aca="false">D16+E15</f>
        <v>-1347149.2</v>
      </c>
      <c r="F16" s="25" t="n">
        <f aca="false">E16+F15</f>
        <v>-1348228.2</v>
      </c>
      <c r="G16" s="25" t="n">
        <f aca="false">F16+G15</f>
        <v>-1369146.95</v>
      </c>
      <c r="H16" s="25" t="n">
        <f aca="false">G16+H15</f>
        <v>-1369721.95</v>
      </c>
      <c r="I16" s="25" t="n">
        <f aca="false">H16+I15</f>
        <v>-1370296.95</v>
      </c>
      <c r="J16" s="25" t="n">
        <f aca="false">I16+J15</f>
        <v>-1360403.2</v>
      </c>
      <c r="K16" s="25" t="n">
        <f aca="false">J16+K15</f>
        <v>-1350509.45</v>
      </c>
      <c r="L16" s="25" t="n">
        <f aca="false">K16+L15</f>
        <v>-1340615.7</v>
      </c>
      <c r="M16" s="25" t="n">
        <f aca="false">L16+M15</f>
        <v>-1330721.95</v>
      </c>
      <c r="N16" s="25" t="n">
        <f aca="false">M16+N15</f>
        <v>180364.981818182</v>
      </c>
      <c r="O16" s="25" t="n">
        <f aca="false">N16+O15</f>
        <v>180364.981818182</v>
      </c>
      <c r="P16" s="25" t="n">
        <f aca="false">O16+P15</f>
        <v>180364.981818182</v>
      </c>
      <c r="Q16" s="25" t="n">
        <f aca="false">P16+Q15</f>
        <v>180364.981818182</v>
      </c>
      <c r="R16" s="25" t="n">
        <f aca="false">Q16+R15</f>
        <v>180364.981818182</v>
      </c>
      <c r="S16" s="25" t="n">
        <f aca="false">R16+S15</f>
        <v>180364.981818182</v>
      </c>
      <c r="T16" s="25" t="n">
        <f aca="false">S16+T15</f>
        <v>180364.981818182</v>
      </c>
      <c r="U16" s="25" t="n">
        <f aca="false">T16+U15</f>
        <v>180364.981818182</v>
      </c>
      <c r="V16" s="25" t="n">
        <f aca="false">U16+V15</f>
        <v>180364.981818182</v>
      </c>
      <c r="W16" s="25" t="n">
        <f aca="false">V16+W15</f>
        <v>180364.981818182</v>
      </c>
      <c r="X16" s="25" t="n">
        <f aca="false">W16+X15</f>
        <v>180364.981818182</v>
      </c>
      <c r="Y16" s="25" t="n">
        <f aca="false">X16+Y15</f>
        <v>180364.981818182</v>
      </c>
      <c r="Z16" s="25" t="n">
        <f aca="false">Y16+Z15</f>
        <v>180364.981818182</v>
      </c>
    </row>
    <row r="17" customFormat="false" ht="15" hidden="false" customHeight="false" outlineLevel="0" collapsed="false">
      <c r="A17" s="4" t="s">
        <v>125</v>
      </c>
      <c r="B17" s="5" t="n">
        <f aca="false">IF(B$3=sale_month,-vpb,0)</f>
        <v>0</v>
      </c>
      <c r="C17" s="5" t="n">
        <f aca="false">IF(C$3=sale_month,-vpb,0)</f>
        <v>0</v>
      </c>
      <c r="D17" s="5" t="n">
        <f aca="false">IF(D$3=sale_month,-vpb,0)</f>
        <v>0</v>
      </c>
      <c r="E17" s="5" t="n">
        <f aca="false">IF(E$3=sale_month,-vpb,0)</f>
        <v>0</v>
      </c>
      <c r="F17" s="5" t="n">
        <f aca="false">IF(F$3=sale_month,-vpb,0)</f>
        <v>0</v>
      </c>
      <c r="G17" s="5" t="n">
        <f aca="false">IF(G$3=sale_month,-vpb,0)</f>
        <v>0</v>
      </c>
      <c r="H17" s="5" t="n">
        <f aca="false">IF(H$3=sale_month,-vpb,0)</f>
        <v>0</v>
      </c>
      <c r="I17" s="5" t="n">
        <f aca="false">IF(I$3=sale_month,-vpb,0)</f>
        <v>0</v>
      </c>
      <c r="J17" s="5" t="n">
        <f aca="false">IF(J$3=sale_month,-vpb,0)</f>
        <v>0</v>
      </c>
      <c r="K17" s="5" t="n">
        <f aca="false">IF(K$3=sale_month,-vpb,0)</f>
        <v>0</v>
      </c>
      <c r="L17" s="5" t="n">
        <f aca="false">IF(L$3=sale_month,-vpb,0)</f>
        <v>0</v>
      </c>
      <c r="M17" s="5" t="n">
        <f aca="false">IF(M$3=sale_month,-vpb,0)</f>
        <v>0</v>
      </c>
      <c r="N17" s="5" t="n">
        <f aca="false">IF(N$3=sale_month,-vpb,0)</f>
        <v>-34269.3465454546</v>
      </c>
      <c r="O17" s="5" t="n">
        <f aca="false">IF(O$3=sale_month,-vpb,0)</f>
        <v>0</v>
      </c>
      <c r="P17" s="5" t="n">
        <f aca="false">IF(P$3=sale_month,-vpb,0)</f>
        <v>0</v>
      </c>
      <c r="Q17" s="5" t="n">
        <f aca="false">IF(Q$3=sale_month,-vpb,0)</f>
        <v>0</v>
      </c>
      <c r="R17" s="5" t="n">
        <f aca="false">IF(R$3=sale_month,-vpb,0)</f>
        <v>0</v>
      </c>
      <c r="S17" s="5" t="n">
        <f aca="false">IF(S$3=sale_month,-vpb,0)</f>
        <v>0</v>
      </c>
      <c r="T17" s="5" t="n">
        <f aca="false">IF(T$3=sale_month,-vpb,0)</f>
        <v>0</v>
      </c>
      <c r="U17" s="5" t="n">
        <f aca="false">IF(U$3=sale_month,-vpb,0)</f>
        <v>0</v>
      </c>
      <c r="V17" s="5" t="n">
        <f aca="false">IF(V$3=sale_month,-vpb,0)</f>
        <v>0</v>
      </c>
      <c r="W17" s="5" t="n">
        <f aca="false">IF(W$3=sale_month,-vpb,0)</f>
        <v>0</v>
      </c>
      <c r="X17" s="5" t="n">
        <f aca="false">IF(X$3=sale_month,-vpb,0)</f>
        <v>0</v>
      </c>
      <c r="Y17" s="5" t="n">
        <f aca="false">IF(Y$3=sale_month,-vpb,0)</f>
        <v>0</v>
      </c>
      <c r="Z17" s="5" t="n">
        <f aca="false">IF(Z$3=sale_month,-vpb,0)</f>
        <v>0</v>
      </c>
    </row>
    <row r="18" customFormat="false" ht="15" hidden="false" customHeight="false" outlineLevel="0" collapsed="false">
      <c r="A18" s="6" t="s">
        <v>126</v>
      </c>
      <c r="B18" s="25" t="n">
        <f aca="false">B15+B17</f>
        <v>-1292100</v>
      </c>
      <c r="C18" s="25" t="n">
        <f aca="false">C15+C17</f>
        <v>-26985.1</v>
      </c>
      <c r="D18" s="25" t="n">
        <f aca="false">D15+D17</f>
        <v>-26985.1</v>
      </c>
      <c r="E18" s="25" t="n">
        <f aca="false">E15+E17</f>
        <v>-1079</v>
      </c>
      <c r="F18" s="25" t="n">
        <f aca="false">F15+F17</f>
        <v>-1079</v>
      </c>
      <c r="G18" s="25" t="n">
        <f aca="false">G15+G17</f>
        <v>-20918.75</v>
      </c>
      <c r="H18" s="25" t="n">
        <f aca="false">H15+H17</f>
        <v>-575</v>
      </c>
      <c r="I18" s="25" t="n">
        <f aca="false">I15+I17</f>
        <v>-575</v>
      </c>
      <c r="J18" s="25" t="n">
        <f aca="false">J15+J17</f>
        <v>9893.75</v>
      </c>
      <c r="K18" s="25" t="n">
        <f aca="false">K15+K17</f>
        <v>9893.75</v>
      </c>
      <c r="L18" s="25" t="n">
        <f aca="false">L15+L17</f>
        <v>9893.75</v>
      </c>
      <c r="M18" s="25" t="n">
        <f aca="false">M15+M17</f>
        <v>9893.75</v>
      </c>
      <c r="N18" s="25" t="n">
        <f aca="false">N15+N17</f>
        <v>1476817.58527273</v>
      </c>
      <c r="O18" s="25" t="n">
        <f aca="false">O15+O17</f>
        <v>0</v>
      </c>
      <c r="P18" s="25" t="n">
        <f aca="false">P15+P17</f>
        <v>0</v>
      </c>
      <c r="Q18" s="25" t="n">
        <f aca="false">Q15+Q17</f>
        <v>0</v>
      </c>
      <c r="R18" s="25" t="n">
        <f aca="false">R15+R17</f>
        <v>0</v>
      </c>
      <c r="S18" s="25" t="n">
        <f aca="false">S15+S17</f>
        <v>0</v>
      </c>
      <c r="T18" s="25" t="n">
        <f aca="false">T15+T17</f>
        <v>0</v>
      </c>
      <c r="U18" s="25" t="n">
        <f aca="false">U15+U17</f>
        <v>0</v>
      </c>
      <c r="V18" s="25" t="n">
        <f aca="false">V15+V17</f>
        <v>0</v>
      </c>
      <c r="W18" s="25" t="n">
        <f aca="false">W15+W17</f>
        <v>0</v>
      </c>
      <c r="X18" s="25" t="n">
        <f aca="false">X15+X17</f>
        <v>0</v>
      </c>
      <c r="Y18" s="25" t="n">
        <f aca="false">Y15+Y17</f>
        <v>0</v>
      </c>
      <c r="Z18" s="25" t="n">
        <f aca="false">Z15+Z17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26" t="s">
        <v>129</v>
      </c>
      <c r="B4" s="27" t="s">
        <v>130</v>
      </c>
      <c r="C4" s="27" t="s">
        <v>131</v>
      </c>
      <c r="D4" s="27" t="s">
        <v>132</v>
      </c>
      <c r="E4" s="27" t="s">
        <v>133</v>
      </c>
    </row>
    <row r="5" customFormat="false" ht="15" hidden="false" customHeight="false" outlineLevel="0" collapsed="false">
      <c r="A5" s="0" t="s">
        <v>134</v>
      </c>
      <c r="B5" s="8" t="n">
        <v>621</v>
      </c>
      <c r="C5" s="14" t="n">
        <v>80</v>
      </c>
      <c r="D5" s="5" t="n">
        <f aca="false">B5*C5</f>
        <v>49680</v>
      </c>
      <c r="E5" s="2" t="s">
        <v>135</v>
      </c>
    </row>
    <row r="6" customFormat="false" ht="15" hidden="false" customHeight="false" outlineLevel="0" collapsed="false">
      <c r="A6" s="0" t="s">
        <v>136</v>
      </c>
      <c r="B6" s="8" t="n">
        <v>228</v>
      </c>
      <c r="C6" s="14" t="n">
        <v>45</v>
      </c>
      <c r="D6" s="5" t="n">
        <f aca="false">B6*C6</f>
        <v>10260</v>
      </c>
      <c r="E6" s="2" t="s">
        <v>137</v>
      </c>
    </row>
    <row r="7" customFormat="false" ht="15" hidden="false" customHeight="false" outlineLevel="0" collapsed="false">
      <c r="A7" s="0" t="s">
        <v>138</v>
      </c>
      <c r="B7" s="8" t="n">
        <v>121</v>
      </c>
      <c r="C7" s="14" t="n">
        <v>110</v>
      </c>
      <c r="D7" s="5" t="n">
        <f aca="false">B7*C7</f>
        <v>13310</v>
      </c>
      <c r="E7" s="2" t="s">
        <v>139</v>
      </c>
    </row>
    <row r="8" customFormat="false" ht="15" hidden="false" customHeight="false" outlineLevel="0" collapsed="false">
      <c r="A8" s="0" t="s">
        <v>140</v>
      </c>
      <c r="B8" s="8" t="n">
        <v>52</v>
      </c>
      <c r="C8" s="14" t="n">
        <v>50</v>
      </c>
      <c r="D8" s="5" t="n">
        <f aca="false">B8*C8</f>
        <v>2600</v>
      </c>
      <c r="E8" s="2" t="s">
        <v>141</v>
      </c>
    </row>
    <row r="9" customFormat="false" ht="15" hidden="false" customHeight="false" outlineLevel="0" collapsed="false">
      <c r="A9" s="0" t="s">
        <v>142</v>
      </c>
      <c r="B9" s="8" t="n">
        <v>555</v>
      </c>
      <c r="C9" s="14" t="n">
        <v>62</v>
      </c>
      <c r="D9" s="5" t="n">
        <f aca="false">B9*C9</f>
        <v>34410</v>
      </c>
      <c r="E9" s="2" t="s">
        <v>143</v>
      </c>
    </row>
    <row r="10" customFormat="false" ht="15" hidden="false" customHeight="false" outlineLevel="0" collapsed="false">
      <c r="A10" s="0" t="s">
        <v>144</v>
      </c>
      <c r="B10" s="8" t="n">
        <v>439</v>
      </c>
      <c r="C10" s="14" t="n">
        <v>35</v>
      </c>
      <c r="D10" s="5" t="n">
        <f aca="false">B10*C10</f>
        <v>15365</v>
      </c>
      <c r="E10" s="2" t="s">
        <v>145</v>
      </c>
    </row>
    <row r="11" customFormat="false" ht="15" hidden="false" customHeight="false" outlineLevel="0" collapsed="false">
      <c r="A11" s="6" t="s">
        <v>146</v>
      </c>
      <c r="B11" s="8" t="n">
        <f aca="false">SUM(B5:B10)</f>
        <v>2016</v>
      </c>
      <c r="C11" s="9" t="n">
        <f aca="false">D11/B11</f>
        <v>62.3139880952381</v>
      </c>
      <c r="D11" s="25" t="n">
        <f aca="false">SUM(D5:D10)</f>
        <v>125625</v>
      </c>
    </row>
    <row r="13" customFormat="false" ht="15" hidden="false" customHeight="false" outlineLevel="0" collapsed="false">
      <c r="A13" s="6" t="s">
        <v>147</v>
      </c>
      <c r="D13" s="5" t="n">
        <f aca="false">rent_base*rent_mult</f>
        <v>125625</v>
      </c>
    </row>
    <row r="14" customFormat="false" ht="15" hidden="false" customHeight="false" outlineLevel="0" collapsed="false">
      <c r="A14" s="0" t="s">
        <v>148</v>
      </c>
      <c r="D14" s="12" t="n">
        <f aca="false">rent_eff/ask</f>
        <v>0.0840301003344482</v>
      </c>
    </row>
    <row r="15" customFormat="false" ht="15" hidden="false" customHeight="false" outlineLevel="0" collapsed="false">
      <c r="A15" s="0" t="s">
        <v>149</v>
      </c>
      <c r="D15" s="12" t="n">
        <f aca="false">rent_eff/buy_price</f>
        <v>0.109239130434783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8"/>
    <col collapsed="false" customWidth="true" hidden="false" outlineLevel="0" max="9" min="6" style="0" width="15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23.85" hidden="false" customHeight="false" outlineLevel="0" collapsed="false">
      <c r="A4" s="26" t="s">
        <v>152</v>
      </c>
      <c r="B4" s="27" t="s">
        <v>102</v>
      </c>
      <c r="C4" s="27" t="s">
        <v>103</v>
      </c>
      <c r="D4" s="27" t="s">
        <v>104</v>
      </c>
      <c r="E4" s="27" t="s">
        <v>153</v>
      </c>
    </row>
    <row r="5" customFormat="false" ht="15" hidden="false" customHeight="false" outlineLevel="0" collapsed="false">
      <c r="A5" s="0" t="s">
        <v>132</v>
      </c>
      <c r="B5" s="5" t="n">
        <v>113062.5</v>
      </c>
      <c r="C5" s="5" t="n">
        <v>125625</v>
      </c>
      <c r="D5" s="5" t="n">
        <v>138187.5</v>
      </c>
      <c r="E5" s="5" t="n">
        <v>125625</v>
      </c>
    </row>
    <row r="6" customFormat="false" ht="15" hidden="false" customHeight="false" outlineLevel="0" collapsed="false">
      <c r="A6" s="0" t="s">
        <v>154</v>
      </c>
      <c r="B6" s="12" t="n">
        <v>0.09</v>
      </c>
      <c r="C6" s="12" t="n">
        <v>0.0825</v>
      </c>
      <c r="D6" s="12" t="n">
        <v>0.0775</v>
      </c>
      <c r="E6" s="12" t="n">
        <v>0.0825</v>
      </c>
    </row>
    <row r="7" customFormat="false" ht="15" hidden="false" customHeight="false" outlineLevel="0" collapsed="false">
      <c r="A7" s="0" t="s">
        <v>108</v>
      </c>
      <c r="B7" s="8" t="n">
        <v>8</v>
      </c>
      <c r="C7" s="8" t="n">
        <v>5</v>
      </c>
      <c r="D7" s="8" t="n">
        <v>4</v>
      </c>
      <c r="E7" s="8" t="n">
        <v>3</v>
      </c>
    </row>
    <row r="8" customFormat="false" ht="15" hidden="false" customHeight="false" outlineLevel="0" collapsed="false">
      <c r="A8" s="0" t="s">
        <v>155</v>
      </c>
      <c r="B8" s="8" t="n">
        <v>15</v>
      </c>
      <c r="C8" s="8" t="n">
        <v>12</v>
      </c>
      <c r="D8" s="8" t="n">
        <v>10</v>
      </c>
      <c r="E8" s="8" t="n">
        <v>6</v>
      </c>
    </row>
    <row r="9" customFormat="false" ht="15" hidden="false" customHeight="false" outlineLevel="0" collapsed="false">
      <c r="A9" s="0" t="s">
        <v>20</v>
      </c>
      <c r="B9" s="5" t="n">
        <v>1256250</v>
      </c>
      <c r="C9" s="5" t="n">
        <v>1522727.27272727</v>
      </c>
      <c r="D9" s="5" t="n">
        <v>1783064.51612903</v>
      </c>
      <c r="E9" s="5" t="n">
        <v>1576893.93939394</v>
      </c>
    </row>
    <row r="10" customFormat="false" ht="15" hidden="false" customHeight="false" outlineLevel="0" collapsed="false">
      <c r="A10" s="0" t="s">
        <v>156</v>
      </c>
      <c r="B10" s="5" t="n">
        <v>1392727.7</v>
      </c>
      <c r="C10" s="5" t="n">
        <v>1394706.04090909</v>
      </c>
      <c r="D10" s="5" t="n">
        <v>1398190.63145161</v>
      </c>
      <c r="E10" s="5" t="n">
        <v>1390925.12424242</v>
      </c>
    </row>
    <row r="11" customFormat="false" ht="15" hidden="false" customHeight="false" outlineLevel="0" collapsed="false">
      <c r="A11" s="0" t="s">
        <v>26</v>
      </c>
      <c r="B11" s="5" t="n">
        <v>-98790.2</v>
      </c>
      <c r="C11" s="5" t="n">
        <v>180364.981818182</v>
      </c>
      <c r="D11" s="5" t="n">
        <v>442452.009677419</v>
      </c>
      <c r="E11" s="5" t="n">
        <v>206906.315151515</v>
      </c>
    </row>
    <row r="12" customFormat="false" ht="15" hidden="false" customHeight="false" outlineLevel="0" collapsed="false">
      <c r="A12" s="0" t="s">
        <v>157</v>
      </c>
      <c r="B12" s="9" t="n">
        <v>-7.09328894657584</v>
      </c>
      <c r="C12" s="9" t="n">
        <v>12.9321144762962</v>
      </c>
      <c r="D12" s="9" t="n">
        <v>31.6446126675918</v>
      </c>
      <c r="E12" s="9" t="n">
        <v>14.8754459564607</v>
      </c>
    </row>
    <row r="13" customFormat="false" ht="15" hidden="false" customHeight="false" outlineLevel="0" collapsed="false">
      <c r="A13" s="0" t="s">
        <v>30</v>
      </c>
      <c r="B13" s="5" t="n">
        <v>-98790.2</v>
      </c>
      <c r="C13" s="5" t="n">
        <v>146095.635272727</v>
      </c>
      <c r="D13" s="5" t="n">
        <v>341899.391180645</v>
      </c>
      <c r="E13" s="5" t="n">
        <v>167124.485842424</v>
      </c>
    </row>
    <row r="14" customFormat="false" ht="15" hidden="false" customHeight="false" outlineLevel="0" collapsed="false">
      <c r="A14" s="0" t="s">
        <v>31</v>
      </c>
      <c r="B14" s="5" t="n">
        <v>1372224.575</v>
      </c>
      <c r="C14" s="5" t="n">
        <v>1370296.95</v>
      </c>
      <c r="D14" s="5" t="n">
        <v>1370527.325</v>
      </c>
      <c r="E14" s="5" t="n">
        <v>1367563.95</v>
      </c>
    </row>
    <row r="15" customFormat="false" ht="15" hidden="false" customHeight="false" outlineLevel="0" collapsed="false">
      <c r="A15" s="0" t="s">
        <v>34</v>
      </c>
      <c r="B15" s="10" t="n">
        <v>-0.071992734862659</v>
      </c>
      <c r="C15" s="10" t="n">
        <v>0.10661604061275</v>
      </c>
      <c r="D15" s="10" t="n">
        <v>0.249465577915891</v>
      </c>
      <c r="E15" s="10" t="n">
        <v>0.122205974969159</v>
      </c>
    </row>
    <row r="16" customFormat="false" ht="15" hidden="false" customHeight="false" outlineLevel="0" collapsed="false">
      <c r="A16" s="0" t="s">
        <v>158</v>
      </c>
      <c r="B16" s="10" t="n">
        <v>-0.0589621234670996</v>
      </c>
      <c r="C16" s="10" t="n">
        <v>0.134101918551975</v>
      </c>
      <c r="D16" s="10" t="n">
        <v>0.40799008940136</v>
      </c>
      <c r="E16" s="10" t="n">
        <v>0.332501381635923</v>
      </c>
    </row>
    <row r="17" customFormat="false" ht="15" hidden="false" customHeight="false" outlineLevel="0" collapsed="false">
      <c r="A17" s="0" t="s">
        <v>159</v>
      </c>
      <c r="B17" s="10" t="n">
        <v>-0.0589621234670996</v>
      </c>
      <c r="C17" s="10" t="n">
        <v>0.108617273669284</v>
      </c>
      <c r="D17" s="10" t="n">
        <v>0.313235361898811</v>
      </c>
      <c r="E17" s="10" t="n">
        <v>0.264833971225986</v>
      </c>
    </row>
    <row r="20" customFormat="false" ht="15" hidden="false" customHeight="false" outlineLevel="0" collapsed="false">
      <c r="A20" s="3" t="s">
        <v>160</v>
      </c>
    </row>
    <row r="21" customFormat="false" ht="15" hidden="false" customHeight="false" outlineLevel="0" collapsed="false">
      <c r="A21" s="19" t="s">
        <v>3</v>
      </c>
      <c r="B21" s="19" t="s">
        <v>161</v>
      </c>
      <c r="C21" s="19" t="s">
        <v>162</v>
      </c>
      <c r="D21" s="19" t="s">
        <v>163</v>
      </c>
      <c r="E21" s="19" t="s">
        <v>164</v>
      </c>
      <c r="F21" s="19" t="s">
        <v>165</v>
      </c>
      <c r="G21" s="19" t="s">
        <v>166</v>
      </c>
      <c r="H21" s="19" t="s">
        <v>167</v>
      </c>
      <c r="I21" s="19" t="s">
        <v>168</v>
      </c>
    </row>
    <row r="22" customFormat="false" ht="15" hidden="false" customHeight="false" outlineLevel="0" collapsed="false">
      <c r="A22" s="5" t="n">
        <v>1495000</v>
      </c>
      <c r="B22" s="10" t="n">
        <v>0</v>
      </c>
      <c r="C22" s="5" t="n">
        <v>741.56746031746</v>
      </c>
      <c r="D22" s="5" t="n">
        <v>-206035.018181818</v>
      </c>
      <c r="E22" s="9" t="n">
        <v>-11.5678131144093</v>
      </c>
      <c r="F22" s="10" t="n">
        <v>-0.119028583508714</v>
      </c>
      <c r="G22" s="5" t="n">
        <v>-162411.809848485</v>
      </c>
      <c r="H22" s="9" t="n">
        <v>-9.14227002651119</v>
      </c>
      <c r="I22" s="10" t="n">
        <v>-0.179239203363856</v>
      </c>
    </row>
    <row r="23" customFormat="false" ht="15" hidden="false" customHeight="false" outlineLevel="0" collapsed="false">
      <c r="A23" s="5" t="n">
        <v>1400000</v>
      </c>
      <c r="B23" s="10" t="n">
        <v>-0.0635451505016722</v>
      </c>
      <c r="C23" s="5" t="n">
        <v>694.444444444445</v>
      </c>
      <c r="D23" s="5" t="n">
        <v>-99635.0181818181</v>
      </c>
      <c r="E23" s="9" t="n">
        <v>-5.94940340262537</v>
      </c>
      <c r="F23" s="10" t="n">
        <v>-0.0613251057291401</v>
      </c>
      <c r="G23" s="5" t="n">
        <v>-60715.5145586296</v>
      </c>
      <c r="H23" s="9" t="n">
        <v>-3.63495799386566</v>
      </c>
      <c r="I23" s="10" t="n">
        <v>-0.0735235682734282</v>
      </c>
    </row>
    <row r="24" customFormat="false" ht="15" hidden="false" customHeight="false" outlineLevel="0" collapsed="false">
      <c r="A24" s="5" t="n">
        <v>1350000</v>
      </c>
      <c r="B24" s="10" t="n">
        <v>-0.096989966555184</v>
      </c>
      <c r="C24" s="5" t="n">
        <v>669.642857142857</v>
      </c>
      <c r="D24" s="5" t="n">
        <v>-43635.0181818181</v>
      </c>
      <c r="E24" s="9" t="n">
        <v>-2.69567278301575</v>
      </c>
      <c r="F24" s="10" t="n">
        <v>-0.0278148617800145</v>
      </c>
      <c r="G24" s="5" t="n">
        <v>-7191.14861660078</v>
      </c>
      <c r="H24" s="9" t="n">
        <v>-0.445426017556465</v>
      </c>
      <c r="I24" s="10" t="n">
        <v>-0.009170831047841</v>
      </c>
    </row>
    <row r="25" customFormat="false" ht="15" hidden="false" customHeight="false" outlineLevel="0" collapsed="false">
      <c r="A25" s="5" t="n">
        <v>1300000</v>
      </c>
      <c r="B25" s="10" t="n">
        <v>-0.130434782608696</v>
      </c>
      <c r="C25" s="5" t="n">
        <v>644.84126984127</v>
      </c>
      <c r="D25" s="5" t="n">
        <v>12364.9818181819</v>
      </c>
      <c r="E25" s="9" t="n">
        <v>0.791254496654323</v>
      </c>
      <c r="F25" s="10" t="n">
        <v>0.00817342682037681</v>
      </c>
      <c r="G25" s="5" t="n">
        <v>46333.2173254283</v>
      </c>
      <c r="H25" s="9" t="n">
        <v>2.97281561676354</v>
      </c>
      <c r="I25" s="10" t="n">
        <v>0.0623662840785062</v>
      </c>
    </row>
    <row r="26" customFormat="false" ht="15" hidden="false" customHeight="false" outlineLevel="0" collapsed="false">
      <c r="A26" s="5" t="n">
        <v>1250000</v>
      </c>
      <c r="B26" s="10" t="n">
        <v>-0.163879598662207</v>
      </c>
      <c r="C26" s="5" t="n">
        <v>620.039682539683</v>
      </c>
      <c r="D26" s="5" t="n">
        <v>68364.9818181819</v>
      </c>
      <c r="E26" s="9" t="n">
        <v>4.53738021631167</v>
      </c>
      <c r="F26" s="10" t="n">
        <v>0.0469254799285268</v>
      </c>
      <c r="G26" s="5" t="n">
        <v>99857.5832674571</v>
      </c>
      <c r="H26" s="9" t="n">
        <v>6.64528158930385</v>
      </c>
      <c r="I26" s="10" t="n">
        <v>0.142209273322258</v>
      </c>
    </row>
    <row r="27" customFormat="false" ht="15" hidden="false" customHeight="false" outlineLevel="0" collapsed="false">
      <c r="A27" s="5" t="n">
        <v>1200000</v>
      </c>
      <c r="B27" s="10" t="n">
        <v>-0.197324414715719</v>
      </c>
      <c r="C27" s="5" t="n">
        <v>595.238095238095</v>
      </c>
      <c r="D27" s="5" t="n">
        <v>124364.981818182</v>
      </c>
      <c r="E27" s="9" t="n">
        <v>8.5727210276348</v>
      </c>
      <c r="F27" s="10" t="n">
        <v>0.0887727420530664</v>
      </c>
      <c r="G27" s="5" t="n">
        <v>153381.949209486</v>
      </c>
      <c r="H27" s="9" t="n">
        <v>10.6014283593865</v>
      </c>
      <c r="I27" s="10" t="n">
        <v>0.231708425290467</v>
      </c>
    </row>
    <row r="28" customFormat="false" ht="15" hidden="false" customHeight="false" outlineLevel="0" collapsed="false">
      <c r="A28" s="28" t="n">
        <v>1150000</v>
      </c>
      <c r="B28" s="29" t="n">
        <v>-0.230769230769231</v>
      </c>
      <c r="C28" s="28" t="n">
        <v>570.436507936508</v>
      </c>
      <c r="D28" s="28" t="n">
        <v>180364.981818182</v>
      </c>
      <c r="E28" s="30" t="n">
        <v>12.9321144762962</v>
      </c>
      <c r="F28" s="29" t="n">
        <v>0.134101918551975</v>
      </c>
      <c r="G28" s="28" t="n">
        <v>206906.315151515</v>
      </c>
      <c r="H28" s="30" t="n">
        <v>14.8754459564607</v>
      </c>
      <c r="I28" s="29" t="n">
        <v>0.332501381635923</v>
      </c>
    </row>
    <row r="29" customFormat="false" ht="15" hidden="false" customHeight="false" outlineLevel="0" collapsed="false">
      <c r="A29" s="5" t="n">
        <v>1100000</v>
      </c>
      <c r="B29" s="10" t="n">
        <v>-0.264214046822743</v>
      </c>
      <c r="C29" s="5" t="n">
        <v>545.634920634921</v>
      </c>
      <c r="D29" s="5" t="n">
        <v>236364.981818182</v>
      </c>
      <c r="E29" s="9" t="n">
        <v>17.6562273266259</v>
      </c>
      <c r="F29" s="10" t="n">
        <v>0.183367004238822</v>
      </c>
      <c r="G29" s="5" t="n">
        <v>260430.681093544</v>
      </c>
      <c r="H29" s="9" t="n">
        <v>19.5072486175139</v>
      </c>
      <c r="I29" s="10" t="n">
        <v>0.446590000718561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15" hidden="false" customHeight="false" outlineLevel="0" collapsed="false">
      <c r="A4" s="3" t="s">
        <v>171</v>
      </c>
    </row>
    <row r="5" customFormat="false" ht="15" hidden="false" customHeight="false" outlineLevel="0" collapsed="false">
      <c r="A5" s="19" t="s">
        <v>172</v>
      </c>
      <c r="B5" s="31" t="n">
        <v>0.075</v>
      </c>
      <c r="C5" s="31" t="n">
        <v>0.0775</v>
      </c>
      <c r="D5" s="31" t="n">
        <v>0.08</v>
      </c>
      <c r="E5" s="31" t="n">
        <v>0.0825</v>
      </c>
      <c r="F5" s="31" t="n">
        <v>0.085</v>
      </c>
      <c r="G5" s="31" t="n">
        <v>0.0875</v>
      </c>
      <c r="H5" s="31" t="n">
        <v>0.09</v>
      </c>
    </row>
    <row r="6" customFormat="false" ht="15" hidden="false" customHeight="false" outlineLevel="0" collapsed="false">
      <c r="A6" s="25" t="n">
        <v>1100000</v>
      </c>
      <c r="B6" s="5" t="n">
        <v>386734.3</v>
      </c>
      <c r="C6" s="5" t="n">
        <v>333377.445161291</v>
      </c>
      <c r="D6" s="5" t="n">
        <v>283355.39375</v>
      </c>
      <c r="E6" s="5" t="n">
        <v>236364.981818182</v>
      </c>
      <c r="F6" s="5" t="n">
        <v>192138.711764706</v>
      </c>
      <c r="G6" s="5" t="n">
        <v>150439.657142857</v>
      </c>
      <c r="H6" s="5" t="n">
        <v>111057.216666667</v>
      </c>
    </row>
    <row r="7" customFormat="false" ht="15" hidden="false" customHeight="false" outlineLevel="0" collapsed="false">
      <c r="A7" s="25" t="n">
        <v>1150000</v>
      </c>
      <c r="B7" s="5" t="n">
        <v>330734.3</v>
      </c>
      <c r="C7" s="5" t="n">
        <v>277377.445161291</v>
      </c>
      <c r="D7" s="5" t="n">
        <v>227355.39375</v>
      </c>
      <c r="E7" s="5" t="n">
        <v>180364.981818182</v>
      </c>
      <c r="F7" s="5" t="n">
        <v>136138.711764706</v>
      </c>
      <c r="G7" s="5" t="n">
        <v>94439.6571428573</v>
      </c>
      <c r="H7" s="5" t="n">
        <v>55057.2166666668</v>
      </c>
    </row>
    <row r="8" customFormat="false" ht="15" hidden="false" customHeight="false" outlineLevel="0" collapsed="false">
      <c r="A8" s="25" t="n">
        <v>1200000</v>
      </c>
      <c r="B8" s="5" t="n">
        <v>274734.3</v>
      </c>
      <c r="C8" s="5" t="n">
        <v>221377.445161291</v>
      </c>
      <c r="D8" s="5" t="n">
        <v>171355.39375</v>
      </c>
      <c r="E8" s="5" t="n">
        <v>124364.981818182</v>
      </c>
      <c r="F8" s="5" t="n">
        <v>80138.7117647058</v>
      </c>
      <c r="G8" s="5" t="n">
        <v>38439.6571428573</v>
      </c>
      <c r="H8" s="5" t="n">
        <v>-942.783333333209</v>
      </c>
    </row>
    <row r="9" customFormat="false" ht="15" hidden="false" customHeight="false" outlineLevel="0" collapsed="false">
      <c r="A9" s="25" t="n">
        <v>1250000</v>
      </c>
      <c r="B9" s="5" t="n">
        <v>218734.3</v>
      </c>
      <c r="C9" s="5" t="n">
        <v>165377.445161291</v>
      </c>
      <c r="D9" s="5" t="n">
        <v>115355.39375</v>
      </c>
      <c r="E9" s="5" t="n">
        <v>68364.9818181819</v>
      </c>
      <c r="F9" s="5" t="n">
        <v>24138.7117647058</v>
      </c>
      <c r="G9" s="5" t="n">
        <v>-17560.3428571427</v>
      </c>
      <c r="H9" s="5" t="n">
        <v>-56942.7833333332</v>
      </c>
    </row>
    <row r="10" customFormat="false" ht="15" hidden="false" customHeight="false" outlineLevel="0" collapsed="false">
      <c r="A10" s="25" t="n">
        <v>1300000</v>
      </c>
      <c r="B10" s="5" t="n">
        <v>162734.3</v>
      </c>
      <c r="C10" s="5" t="n">
        <v>109377.445161291</v>
      </c>
      <c r="D10" s="5" t="n">
        <v>59355.3937500001</v>
      </c>
      <c r="E10" s="5" t="n">
        <v>12364.9818181819</v>
      </c>
      <c r="F10" s="5" t="n">
        <v>-31861.2882352942</v>
      </c>
      <c r="G10" s="5" t="n">
        <v>-73560.3428571427</v>
      </c>
      <c r="H10" s="5" t="n">
        <v>-112942.783333333</v>
      </c>
    </row>
    <row r="11" customFormat="false" ht="15" hidden="false" customHeight="false" outlineLevel="0" collapsed="false">
      <c r="A11" s="25" t="n">
        <v>1400000</v>
      </c>
      <c r="B11" s="5" t="n">
        <v>50734.3000000001</v>
      </c>
      <c r="C11" s="5" t="n">
        <v>-2622.55483870953</v>
      </c>
      <c r="D11" s="5" t="n">
        <v>-52644.60625</v>
      </c>
      <c r="E11" s="5" t="n">
        <v>-99635.0181818181</v>
      </c>
      <c r="F11" s="5" t="n">
        <v>-143861.288235294</v>
      </c>
      <c r="G11" s="5" t="n">
        <v>-185560.342857143</v>
      </c>
      <c r="H11" s="5" t="n">
        <v>-224942.783333333</v>
      </c>
    </row>
    <row r="12" customFormat="false" ht="15" hidden="false" customHeight="false" outlineLevel="0" collapsed="false">
      <c r="A12" s="25" t="n">
        <v>1495000</v>
      </c>
      <c r="B12" s="5" t="n">
        <v>-55665.7</v>
      </c>
      <c r="C12" s="5" t="n">
        <v>-109022.55483871</v>
      </c>
      <c r="D12" s="5" t="n">
        <v>-159044.60625</v>
      </c>
      <c r="E12" s="5" t="n">
        <v>-206035.018181818</v>
      </c>
      <c r="F12" s="5" t="n">
        <v>-250261.288235294</v>
      </c>
      <c r="G12" s="5" t="n">
        <v>-291960.342857143</v>
      </c>
      <c r="H12" s="5" t="n">
        <v>-331342.783333333</v>
      </c>
    </row>
    <row r="15" customFormat="false" ht="15" hidden="false" customHeight="false" outlineLevel="0" collapsed="false">
      <c r="A15" s="3" t="s">
        <v>173</v>
      </c>
    </row>
    <row r="16" customFormat="false" ht="15" hidden="false" customHeight="false" outlineLevel="0" collapsed="false">
      <c r="A16" s="19" t="s">
        <v>174</v>
      </c>
      <c r="B16" s="31" t="n">
        <v>0.075</v>
      </c>
      <c r="C16" s="31" t="n">
        <v>0.0775</v>
      </c>
      <c r="D16" s="31" t="n">
        <v>0.08</v>
      </c>
      <c r="E16" s="31" t="n">
        <v>0.0825</v>
      </c>
      <c r="F16" s="31" t="n">
        <v>0.085</v>
      </c>
      <c r="G16" s="31" t="n">
        <v>0.0875</v>
      </c>
      <c r="H16" s="31" t="n">
        <v>0.09</v>
      </c>
    </row>
    <row r="17" customFormat="false" ht="15" hidden="false" customHeight="false" outlineLevel="0" collapsed="false">
      <c r="A17" s="32" t="n">
        <v>0.85</v>
      </c>
      <c r="B17" s="5" t="n">
        <v>77599.9250000001</v>
      </c>
      <c r="C17" s="5" t="n">
        <v>32246.5983870968</v>
      </c>
      <c r="D17" s="5" t="n">
        <v>-10272.1453125</v>
      </c>
      <c r="E17" s="5" t="n">
        <v>-50213.9954545456</v>
      </c>
      <c r="F17" s="5" t="n">
        <v>-87806.325</v>
      </c>
      <c r="G17" s="5" t="n">
        <v>-123250.521428571</v>
      </c>
      <c r="H17" s="5" t="n">
        <v>-156725.595833333</v>
      </c>
    </row>
    <row r="18" customFormat="false" ht="15" hidden="false" customHeight="false" outlineLevel="0" collapsed="false">
      <c r="A18" s="32" t="n">
        <v>0.9</v>
      </c>
      <c r="B18" s="5" t="n">
        <v>161978.05</v>
      </c>
      <c r="C18" s="5" t="n">
        <v>113956.880645161</v>
      </c>
      <c r="D18" s="5" t="n">
        <v>68937.0343750001</v>
      </c>
      <c r="E18" s="5" t="n">
        <v>26645.6636363636</v>
      </c>
      <c r="F18" s="5" t="n">
        <v>-13157.9794117648</v>
      </c>
      <c r="G18" s="5" t="n">
        <v>-50687.1285714284</v>
      </c>
      <c r="H18" s="5" t="n">
        <v>-86131.325</v>
      </c>
    </row>
    <row r="19" customFormat="false" ht="15" hidden="false" customHeight="false" outlineLevel="0" collapsed="false">
      <c r="A19" s="32" t="n">
        <v>0.95</v>
      </c>
      <c r="B19" s="5" t="n">
        <v>246356.175</v>
      </c>
      <c r="C19" s="5" t="n">
        <v>195667.162903226</v>
      </c>
      <c r="D19" s="5" t="n">
        <v>148146.2140625</v>
      </c>
      <c r="E19" s="5" t="n">
        <v>103505.322727273</v>
      </c>
      <c r="F19" s="5" t="n">
        <v>61490.3661764707</v>
      </c>
      <c r="G19" s="5" t="n">
        <v>21876.2642857146</v>
      </c>
      <c r="H19" s="5" t="n">
        <v>-15537.0541666665</v>
      </c>
    </row>
    <row r="20" customFormat="false" ht="15" hidden="false" customHeight="false" outlineLevel="0" collapsed="false">
      <c r="A20" s="32" t="n">
        <v>1</v>
      </c>
      <c r="B20" s="5" t="n">
        <v>330734.3</v>
      </c>
      <c r="C20" s="5" t="n">
        <v>277377.445161291</v>
      </c>
      <c r="D20" s="5" t="n">
        <v>227355.39375</v>
      </c>
      <c r="E20" s="5" t="n">
        <v>180364.981818182</v>
      </c>
      <c r="F20" s="5" t="n">
        <v>136138.711764706</v>
      </c>
      <c r="G20" s="5" t="n">
        <v>94439.6571428573</v>
      </c>
      <c r="H20" s="5" t="n">
        <v>55057.2166666668</v>
      </c>
    </row>
    <row r="21" customFormat="false" ht="15" hidden="false" customHeight="false" outlineLevel="0" collapsed="false">
      <c r="A21" s="32" t="n">
        <v>1.05</v>
      </c>
      <c r="B21" s="5" t="n">
        <v>415112.425</v>
      </c>
      <c r="C21" s="5" t="n">
        <v>359087.727419355</v>
      </c>
      <c r="D21" s="5" t="n">
        <v>306564.5734375</v>
      </c>
      <c r="E21" s="5" t="n">
        <v>257224.640909091</v>
      </c>
      <c r="F21" s="5" t="n">
        <v>210787.057352941</v>
      </c>
      <c r="G21" s="5" t="n">
        <v>167003.05</v>
      </c>
      <c r="H21" s="5" t="n">
        <v>125651.4875</v>
      </c>
    </row>
    <row r="22" customFormat="false" ht="15" hidden="false" customHeight="false" outlineLevel="0" collapsed="false">
      <c r="A22" s="32" t="n">
        <v>1.1</v>
      </c>
      <c r="B22" s="5" t="n">
        <v>499490.55</v>
      </c>
      <c r="C22" s="5" t="n">
        <v>440798.009677419</v>
      </c>
      <c r="D22" s="5" t="n">
        <v>385773.753125</v>
      </c>
      <c r="E22" s="5" t="n">
        <v>334084.3</v>
      </c>
      <c r="F22" s="5" t="n">
        <v>285435.402941176</v>
      </c>
      <c r="G22" s="5" t="n">
        <v>239566.442857143</v>
      </c>
      <c r="H22" s="5" t="n">
        <v>196245.758333334</v>
      </c>
    </row>
    <row r="23" customFormat="false" ht="15" hidden="false" customHeight="false" outlineLevel="0" collapsed="false">
      <c r="A23" s="32" t="n">
        <v>1.15</v>
      </c>
      <c r="B23" s="5" t="n">
        <v>583868.675</v>
      </c>
      <c r="C23" s="5" t="n">
        <v>522508.291935484</v>
      </c>
      <c r="D23" s="5" t="n">
        <v>464982.9328125</v>
      </c>
      <c r="E23" s="5" t="n">
        <v>410943.959090909</v>
      </c>
      <c r="F23" s="5" t="n">
        <v>360083.748529412</v>
      </c>
      <c r="G23" s="5" t="n">
        <v>312129.835714286</v>
      </c>
      <c r="H23" s="5" t="n">
        <v>266840.029166667</v>
      </c>
    </row>
    <row r="26" customFormat="false" ht="15" hidden="false" customHeight="false" outlineLevel="0" collapsed="false">
      <c r="A26" s="3" t="s">
        <v>175</v>
      </c>
    </row>
    <row r="27" customFormat="false" ht="15" hidden="false" customHeight="false" outlineLevel="0" collapsed="false">
      <c r="A27" s="19" t="s">
        <v>176</v>
      </c>
      <c r="B27" s="33" t="n">
        <v>6</v>
      </c>
      <c r="C27" s="33" t="n">
        <v>9</v>
      </c>
      <c r="D27" s="33" t="n">
        <v>12</v>
      </c>
      <c r="E27" s="33" t="n">
        <v>15</v>
      </c>
      <c r="F27" s="33" t="n">
        <v>18</v>
      </c>
    </row>
    <row r="28" customFormat="false" ht="15" hidden="false" customHeight="false" outlineLevel="0" collapsed="false">
      <c r="A28" s="23" t="n">
        <v>3</v>
      </c>
      <c r="B28" s="5" t="n">
        <v>206906.315151515</v>
      </c>
      <c r="C28" s="5" t="n">
        <v>172629.231818182</v>
      </c>
      <c r="D28" s="5" t="n">
        <v>202310.481818182</v>
      </c>
      <c r="E28" s="5" t="n">
        <v>231991.731818182</v>
      </c>
      <c r="F28" s="5" t="n">
        <v>261672.981818182</v>
      </c>
    </row>
    <row r="29" customFormat="false" ht="15" hidden="false" customHeight="false" outlineLevel="0" collapsed="false">
      <c r="A29" s="23" t="n">
        <v>5</v>
      </c>
      <c r="B29" s="5" t="n">
        <v>184960.815151515</v>
      </c>
      <c r="C29" s="5" t="n">
        <v>150683.731818182</v>
      </c>
      <c r="D29" s="5" t="n">
        <v>180364.981818182</v>
      </c>
      <c r="E29" s="5" t="n">
        <v>210046.231818182</v>
      </c>
      <c r="F29" s="5" t="n">
        <v>239727.481818182</v>
      </c>
    </row>
    <row r="30" customFormat="false" ht="15" hidden="false" customHeight="false" outlineLevel="0" collapsed="false">
      <c r="A30" s="23" t="n">
        <v>7</v>
      </c>
      <c r="B30" s="5"/>
      <c r="C30" s="5" t="n">
        <v>128738.231818182</v>
      </c>
      <c r="D30" s="5" t="n">
        <v>158419.481818182</v>
      </c>
      <c r="E30" s="5" t="n">
        <v>188100.731818182</v>
      </c>
      <c r="F30" s="5" t="n">
        <v>217781.981818182</v>
      </c>
    </row>
    <row r="31" customFormat="false" ht="15" hidden="false" customHeight="false" outlineLevel="0" collapsed="false">
      <c r="A31" s="23" t="n">
        <v>9</v>
      </c>
      <c r="B31" s="5"/>
      <c r="C31" s="5"/>
      <c r="D31" s="5" t="n">
        <v>136473.981818182</v>
      </c>
      <c r="E31" s="5" t="n">
        <v>166155.231818182</v>
      </c>
      <c r="F31" s="5" t="n">
        <v>195836.481818182</v>
      </c>
    </row>
    <row r="34" customFormat="false" ht="15" hidden="false" customHeight="false" outlineLevel="0" collapsed="false">
      <c r="A34" s="3" t="s">
        <v>177</v>
      </c>
    </row>
    <row r="35" customFormat="false" ht="15" hidden="false" customHeight="false" outlineLevel="0" collapsed="false">
      <c r="A35" s="0" t="s">
        <v>178</v>
      </c>
      <c r="B35" s="34" t="n">
        <v>0</v>
      </c>
      <c r="C35" s="34" t="n">
        <v>0.25</v>
      </c>
      <c r="D35" s="34" t="n">
        <v>0.5</v>
      </c>
      <c r="E35" s="34" t="n">
        <v>0.75</v>
      </c>
      <c r="F35" s="34" t="n">
        <v>1</v>
      </c>
    </row>
    <row r="36" customFormat="false" ht="15" hidden="false" customHeight="false" outlineLevel="0" collapsed="false">
      <c r="A36" s="0" t="s">
        <v>26</v>
      </c>
      <c r="B36" s="5" t="n">
        <v>153416.731818182</v>
      </c>
      <c r="C36" s="5" t="n">
        <v>180161.523484848</v>
      </c>
      <c r="D36" s="5" t="n">
        <v>206906.315151515</v>
      </c>
      <c r="E36" s="5" t="n">
        <v>233651.106818182</v>
      </c>
      <c r="F36" s="5" t="n">
        <v>260395.898484848</v>
      </c>
    </row>
  </sheetData>
  <conditionalFormatting sqref="B6:H12">
    <cfRule type="colorScale" priority="2">
      <colorScale>
        <cfvo type="min" val="0"/>
        <cfvo type="num" val="0"/>
        <cfvo type="max" val="0"/>
        <color rgb="FFE6B8AF"/>
        <color rgb="FFFFFFFF"/>
        <color rgb="FFB6D7A8"/>
      </colorScale>
    </cfRule>
  </conditionalFormatting>
  <conditionalFormatting sqref="B17:H23">
    <cfRule type="colorScale" priority="3">
      <colorScale>
        <cfvo type="min" val="0"/>
        <cfvo type="num" val="0"/>
        <cfvo type="max" val="0"/>
        <color rgb="FFE6B8AF"/>
        <color rgb="FFFFFFFF"/>
        <color rgb="FFB6D7A8"/>
      </colorScale>
    </cfRule>
  </conditionalFormatting>
  <conditionalFormatting sqref="B28:F31">
    <cfRule type="colorScale" priority="4">
      <colorScale>
        <cfvo type="min" val="0"/>
        <cfvo type="num" val="0"/>
        <cfvo type="max" val="0"/>
        <color rgb="FFE6B8AF"/>
        <color rgb="FFFFFFFF"/>
        <color rgb="FFB6D7A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4" customFormat="false" ht="15" hidden="false" customHeight="false" outlineLevel="0" collapsed="false">
      <c r="A4" s="3" t="s">
        <v>181</v>
      </c>
    </row>
    <row r="5" customFormat="false" ht="15" hidden="false" customHeight="false" outlineLevel="0" collapsed="false">
      <c r="A5" s="0" t="s">
        <v>182</v>
      </c>
      <c r="B5" s="16" t="n">
        <v>0.125</v>
      </c>
      <c r="C5" s="2" t="s">
        <v>183</v>
      </c>
    </row>
    <row r="6" customFormat="false" ht="15" hidden="false" customHeight="false" outlineLevel="0" collapsed="false">
      <c r="A6" s="0" t="s">
        <v>184</v>
      </c>
      <c r="B6" s="16" t="n">
        <v>0</v>
      </c>
      <c r="C6" s="2" t="s">
        <v>185</v>
      </c>
    </row>
    <row r="7" customFormat="false" ht="15" hidden="false" customHeight="false" outlineLevel="0" collapsed="false">
      <c r="A7" s="0" t="s">
        <v>186</v>
      </c>
      <c r="B7" s="5" t="n">
        <f aca="false">rent_eff*(1-hold_opex)</f>
        <v>109921.875</v>
      </c>
      <c r="C7" s="2"/>
    </row>
    <row r="8" customFormat="false" ht="15" hidden="false" customHeight="false" outlineLevel="0" collapsed="false">
      <c r="A8" s="0" t="s">
        <v>187</v>
      </c>
      <c r="B8" s="5" t="n">
        <f aca="false">acq_total+capex_total+rent_eff*letting_fee+marketing</f>
        <v>1364255.95</v>
      </c>
      <c r="C8" s="2"/>
    </row>
    <row r="9" customFormat="false" ht="15" hidden="false" customHeight="false" outlineLevel="0" collapsed="false">
      <c r="A9" s="0" t="s">
        <v>188</v>
      </c>
      <c r="B9" s="12" t="n">
        <f aca="false">hold_noi/hold_invested</f>
        <v>0.0805727656896054</v>
      </c>
      <c r="C9" s="2"/>
    </row>
    <row r="10" customFormat="false" ht="15" hidden="false" customHeight="false" outlineLevel="0" collapsed="false">
      <c r="A10" s="0" t="s">
        <v>189</v>
      </c>
      <c r="B10" s="5" t="n">
        <f aca="false">refi_ltv*value_let</f>
        <v>0</v>
      </c>
      <c r="C10" s="2"/>
    </row>
    <row r="11" customFormat="false" ht="15" hidden="false" customHeight="false" outlineLevel="0" collapsed="false">
      <c r="A11" s="0" t="s">
        <v>190</v>
      </c>
      <c r="B11" s="5" t="n">
        <f aca="false">hold_loan*loan_rate</f>
        <v>0</v>
      </c>
      <c r="C11" s="2"/>
    </row>
    <row r="12" customFormat="false" ht="15" hidden="false" customHeight="false" outlineLevel="0" collapsed="false">
      <c r="A12" s="0" t="s">
        <v>191</v>
      </c>
      <c r="B12" s="5" t="n">
        <f aca="false">hold_invested-hold_loan</f>
        <v>1364255.95</v>
      </c>
      <c r="C12" s="2"/>
    </row>
    <row r="13" customFormat="false" ht="15" hidden="false" customHeight="false" outlineLevel="0" collapsed="false">
      <c r="A13" s="0" t="s">
        <v>192</v>
      </c>
      <c r="B13" s="5" t="n">
        <f aca="false">hold_noi-hold_int</f>
        <v>109921.875</v>
      </c>
      <c r="C13" s="2"/>
    </row>
    <row r="14" customFormat="false" ht="15" hidden="false" customHeight="false" outlineLevel="0" collapsed="false">
      <c r="A14" s="0" t="s">
        <v>193</v>
      </c>
      <c r="B14" s="10" t="n">
        <f aca="false">hold_cash/hold_eq</f>
        <v>0.0805727656896054</v>
      </c>
      <c r="C14" s="2"/>
    </row>
    <row r="15" customFormat="false" ht="15" hidden="false" customHeight="false" outlineLevel="0" collapsed="false">
      <c r="A15" s="3" t="s">
        <v>194</v>
      </c>
    </row>
    <row r="16" customFormat="false" ht="15" hidden="false" customHeight="false" outlineLevel="0" collapsed="false">
      <c r="A16" s="0" t="s">
        <v>195</v>
      </c>
      <c r="B16" s="14" t="n">
        <v>850</v>
      </c>
      <c r="C16" s="2" t="s">
        <v>196</v>
      </c>
    </row>
    <row r="17" customFormat="false" ht="15" hidden="false" customHeight="false" outlineLevel="0" collapsed="false">
      <c r="A17" s="0" t="s">
        <v>197</v>
      </c>
      <c r="B17" s="14" t="n">
        <v>90000</v>
      </c>
      <c r="C17" s="2" t="s">
        <v>64</v>
      </c>
    </row>
    <row r="18" customFormat="false" ht="15" hidden="false" customHeight="false" outlineLevel="0" collapsed="false">
      <c r="A18" s="0" t="s">
        <v>198</v>
      </c>
      <c r="B18" s="15" t="n">
        <v>10</v>
      </c>
      <c r="C18" s="2"/>
    </row>
    <row r="19" customFormat="false" ht="15" hidden="false" customHeight="false" outlineLevel="0" collapsed="false">
      <c r="A19" s="0" t="s">
        <v>199</v>
      </c>
      <c r="B19" s="16" t="n">
        <v>0.02</v>
      </c>
      <c r="C19" s="2"/>
    </row>
    <row r="20" customFormat="false" ht="15" hidden="false" customHeight="false" outlineLevel="0" collapsed="false">
      <c r="A20" s="0" t="s">
        <v>200</v>
      </c>
      <c r="B20" s="5" t="n">
        <f aca="false">split_pm2*area_vvo</f>
        <v>1713600</v>
      </c>
      <c r="C20" s="2"/>
    </row>
    <row r="21" customFormat="false" ht="15" hidden="false" customHeight="false" outlineLevel="0" collapsed="false">
      <c r="A21" s="0" t="s">
        <v>201</v>
      </c>
      <c r="B21" s="5" t="n">
        <f aca="false">split_gross*split_fee+2*5000</f>
        <v>44272</v>
      </c>
      <c r="C21" s="2"/>
    </row>
    <row r="22" customFormat="false" ht="15" hidden="false" customHeight="false" outlineLevel="0" collapsed="false">
      <c r="A22" s="0" t="s">
        <v>202</v>
      </c>
      <c r="B22" s="5" t="n">
        <f aca="false">loan*loan_rate*split_months/12</f>
        <v>0</v>
      </c>
      <c r="C22" s="2"/>
    </row>
    <row r="23" customFormat="false" ht="15" hidden="false" customHeight="false" outlineLevel="0" collapsed="false">
      <c r="A23" s="0" t="s">
        <v>203</v>
      </c>
      <c r="B23" s="5" t="n">
        <f aca="false">(buy_price*holding_pct+void_m2*area_vvo)*split_months/12</f>
        <v>10790</v>
      </c>
      <c r="C23" s="2"/>
    </row>
    <row r="24" customFormat="false" ht="15" hidden="false" customHeight="false" outlineLevel="0" collapsed="false">
      <c r="A24" s="0" t="s">
        <v>156</v>
      </c>
      <c r="B24" s="5" t="n">
        <f aca="false">acq_total+capex_total+split_cost+split_int+split_hold+split_sale_cost</f>
        <v>1488974.2</v>
      </c>
      <c r="C24" s="2"/>
    </row>
    <row r="25" customFormat="false" ht="15" hidden="false" customHeight="false" outlineLevel="0" collapsed="false">
      <c r="A25" s="0" t="s">
        <v>26</v>
      </c>
      <c r="B25" s="5" t="n">
        <f aca="false">split_gross-split_total</f>
        <v>224625.8</v>
      </c>
      <c r="C25" s="2"/>
    </row>
    <row r="26" customFormat="false" ht="15" hidden="false" customHeight="false" outlineLevel="0" collapsed="false">
      <c r="A26" s="0" t="s">
        <v>204</v>
      </c>
      <c r="B26" s="10" t="n">
        <f aca="false">(split_gross-split_total)/split_total</f>
        <v>0.150859430606655</v>
      </c>
      <c r="C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15" hidden="false" customHeight="false" outlineLevel="0" collapsed="false">
      <c r="A4" s="3" t="s">
        <v>207</v>
      </c>
    </row>
    <row r="5" customFormat="false" ht="15" hidden="false" customHeight="false" outlineLevel="0" collapsed="false">
      <c r="A5" s="19" t="s">
        <v>208</v>
      </c>
      <c r="B5" s="19" t="s">
        <v>209</v>
      </c>
      <c r="C5" s="19" t="s">
        <v>210</v>
      </c>
      <c r="D5" s="19" t="s">
        <v>211</v>
      </c>
      <c r="E5" s="19" t="s">
        <v>212</v>
      </c>
      <c r="F5" s="19" t="s">
        <v>213</v>
      </c>
      <c r="G5" s="19" t="s">
        <v>214</v>
      </c>
      <c r="H5" s="19" t="s">
        <v>215</v>
      </c>
      <c r="I5" s="19" t="s">
        <v>216</v>
      </c>
    </row>
    <row r="6" customFormat="false" ht="15" hidden="false" customHeight="false" outlineLevel="0" collapsed="false">
      <c r="A6" s="0" t="s">
        <v>217</v>
      </c>
      <c r="B6" s="0" t="s">
        <v>218</v>
      </c>
      <c r="C6" s="8" t="n">
        <v>11195</v>
      </c>
      <c r="D6" s="5" t="n">
        <v>5700000</v>
      </c>
      <c r="E6" s="5" t="n">
        <v>509</v>
      </c>
      <c r="F6" s="35" t="s">
        <v>219</v>
      </c>
      <c r="G6" s="35" t="s">
        <v>220</v>
      </c>
      <c r="H6" s="35" t="s">
        <v>221</v>
      </c>
      <c r="I6" s="36" t="s">
        <v>222</v>
      </c>
    </row>
    <row r="7" customFormat="false" ht="15" hidden="false" customHeight="false" outlineLevel="0" collapsed="false">
      <c r="A7" s="0" t="s">
        <v>223</v>
      </c>
      <c r="B7" s="0" t="s">
        <v>218</v>
      </c>
      <c r="C7" s="8" t="n">
        <v>1737</v>
      </c>
      <c r="D7" s="5" t="n">
        <v>900000</v>
      </c>
      <c r="E7" s="5" t="n">
        <v>518</v>
      </c>
      <c r="F7" s="35" t="s">
        <v>224</v>
      </c>
      <c r="G7" s="35" t="s">
        <v>225</v>
      </c>
      <c r="H7" s="35" t="s">
        <v>221</v>
      </c>
      <c r="I7" s="36" t="s">
        <v>226</v>
      </c>
    </row>
    <row r="8" customFormat="false" ht="15" hidden="false" customHeight="false" outlineLevel="0" collapsed="false">
      <c r="A8" s="0" t="s">
        <v>227</v>
      </c>
      <c r="B8" s="0" t="s">
        <v>218</v>
      </c>
      <c r="C8" s="8" t="n">
        <v>11289</v>
      </c>
      <c r="D8" s="5" t="n">
        <v>6500000</v>
      </c>
      <c r="E8" s="5" t="n">
        <v>576</v>
      </c>
      <c r="F8" s="35" t="s">
        <v>224</v>
      </c>
      <c r="G8" s="35" t="s">
        <v>220</v>
      </c>
      <c r="H8" s="35" t="s">
        <v>221</v>
      </c>
      <c r="I8" s="36" t="s">
        <v>228</v>
      </c>
    </row>
    <row r="9" customFormat="false" ht="15" hidden="false" customHeight="false" outlineLevel="0" collapsed="false">
      <c r="A9" s="0" t="s">
        <v>229</v>
      </c>
      <c r="B9" s="0" t="s">
        <v>218</v>
      </c>
      <c r="C9" s="8" t="n">
        <v>4220</v>
      </c>
      <c r="D9" s="5" t="n">
        <v>2795000</v>
      </c>
      <c r="E9" s="5" t="n">
        <v>662</v>
      </c>
      <c r="F9" s="35" t="s">
        <v>230</v>
      </c>
      <c r="G9" s="35" t="s">
        <v>220</v>
      </c>
      <c r="H9" s="35" t="s">
        <v>221</v>
      </c>
      <c r="I9" s="36" t="s">
        <v>231</v>
      </c>
    </row>
    <row r="10" customFormat="false" ht="15" hidden="false" customHeight="false" outlineLevel="0" collapsed="false">
      <c r="A10" s="0" t="s">
        <v>232</v>
      </c>
      <c r="B10" s="0" t="s">
        <v>218</v>
      </c>
      <c r="C10" s="8" t="n">
        <v>2155</v>
      </c>
      <c r="D10" s="5" t="n">
        <v>1495000</v>
      </c>
      <c r="E10" s="5" t="n">
        <v>694</v>
      </c>
      <c r="F10" s="35" t="s">
        <v>233</v>
      </c>
      <c r="G10" s="35" t="s">
        <v>220</v>
      </c>
      <c r="H10" s="35" t="s">
        <v>221</v>
      </c>
      <c r="I10" s="36" t="s">
        <v>234</v>
      </c>
    </row>
    <row r="11" customFormat="false" ht="15" hidden="false" customHeight="false" outlineLevel="0" collapsed="false">
      <c r="A11" s="0" t="s">
        <v>235</v>
      </c>
      <c r="B11" s="0" t="s">
        <v>236</v>
      </c>
      <c r="C11" s="8" t="n">
        <v>694</v>
      </c>
      <c r="D11" s="5" t="n">
        <v>575000</v>
      </c>
      <c r="E11" s="5" t="n">
        <v>829</v>
      </c>
      <c r="F11" s="35" t="s">
        <v>237</v>
      </c>
      <c r="G11" s="35" t="s">
        <v>220</v>
      </c>
      <c r="H11" s="35" t="s">
        <v>221</v>
      </c>
      <c r="I11" s="36" t="s">
        <v>238</v>
      </c>
    </row>
    <row r="12" customFormat="false" ht="15" hidden="false" customHeight="false" outlineLevel="0" collapsed="false">
      <c r="A12" s="0" t="s">
        <v>239</v>
      </c>
      <c r="B12" s="0" t="s">
        <v>218</v>
      </c>
      <c r="C12" s="8" t="n">
        <v>4500</v>
      </c>
      <c r="D12" s="5" t="n">
        <v>3750000</v>
      </c>
      <c r="E12" s="5" t="n">
        <v>833</v>
      </c>
      <c r="F12" s="35" t="s">
        <v>240</v>
      </c>
      <c r="G12" s="35" t="s">
        <v>220</v>
      </c>
      <c r="H12" s="35" t="s">
        <v>221</v>
      </c>
      <c r="I12" s="36" t="s">
        <v>241</v>
      </c>
    </row>
    <row r="13" customFormat="false" ht="15" hidden="false" customHeight="false" outlineLevel="0" collapsed="false">
      <c r="A13" s="0" t="s">
        <v>239</v>
      </c>
      <c r="B13" s="0" t="s">
        <v>218</v>
      </c>
      <c r="C13" s="8" t="n">
        <v>1625</v>
      </c>
      <c r="D13" s="5" t="n">
        <v>1499000</v>
      </c>
      <c r="E13" s="5" t="n">
        <v>922</v>
      </c>
      <c r="F13" s="35" t="s">
        <v>240</v>
      </c>
      <c r="G13" s="35" t="s">
        <v>220</v>
      </c>
      <c r="H13" s="35" t="s">
        <v>242</v>
      </c>
      <c r="I13" s="36" t="s">
        <v>243</v>
      </c>
    </row>
    <row r="14" customFormat="false" ht="15" hidden="false" customHeight="false" outlineLevel="0" collapsed="false">
      <c r="A14" s="0" t="s">
        <v>244</v>
      </c>
      <c r="B14" s="0" t="s">
        <v>245</v>
      </c>
      <c r="C14" s="8" t="n">
        <v>936</v>
      </c>
      <c r="D14" s="5" t="n">
        <v>875000</v>
      </c>
      <c r="E14" s="5" t="n">
        <v>935</v>
      </c>
      <c r="F14" s="35" t="s">
        <v>246</v>
      </c>
      <c r="G14" s="35" t="s">
        <v>220</v>
      </c>
      <c r="H14" s="35" t="s">
        <v>247</v>
      </c>
      <c r="I14" s="36" t="s">
        <v>248</v>
      </c>
    </row>
    <row r="15" customFormat="false" ht="15" hidden="false" customHeight="false" outlineLevel="0" collapsed="false">
      <c r="A15" s="0" t="s">
        <v>239</v>
      </c>
      <c r="B15" s="0" t="s">
        <v>218</v>
      </c>
      <c r="C15" s="8" t="n">
        <v>1100</v>
      </c>
      <c r="D15" s="5" t="n">
        <v>1099000</v>
      </c>
      <c r="E15" s="5" t="n">
        <v>999</v>
      </c>
      <c r="F15" s="35" t="s">
        <v>240</v>
      </c>
      <c r="G15" s="35" t="s">
        <v>220</v>
      </c>
      <c r="H15" s="35" t="s">
        <v>242</v>
      </c>
      <c r="I15" s="36" t="s">
        <v>249</v>
      </c>
    </row>
    <row r="16" customFormat="false" ht="15" hidden="false" customHeight="false" outlineLevel="0" collapsed="false">
      <c r="A16" s="0" t="s">
        <v>250</v>
      </c>
      <c r="B16" s="0" t="s">
        <v>218</v>
      </c>
      <c r="C16" s="8" t="n">
        <v>11976</v>
      </c>
      <c r="D16" s="5" t="n">
        <v>12000000</v>
      </c>
      <c r="E16" s="5" t="n">
        <v>1002</v>
      </c>
      <c r="F16" s="35" t="s">
        <v>224</v>
      </c>
      <c r="G16" s="35" t="s">
        <v>220</v>
      </c>
      <c r="H16" s="35" t="s">
        <v>221</v>
      </c>
      <c r="I16" s="36" t="s">
        <v>251</v>
      </c>
    </row>
    <row r="17" customFormat="false" ht="15" hidden="false" customHeight="false" outlineLevel="0" collapsed="false">
      <c r="A17" s="0" t="s">
        <v>252</v>
      </c>
      <c r="B17" s="0" t="s">
        <v>253</v>
      </c>
      <c r="C17" s="8" t="n">
        <v>2258</v>
      </c>
      <c r="D17" s="5" t="n">
        <v>2350000</v>
      </c>
      <c r="E17" s="5" t="n">
        <v>1041</v>
      </c>
      <c r="F17" s="35" t="s">
        <v>254</v>
      </c>
      <c r="G17" s="35" t="s">
        <v>220</v>
      </c>
      <c r="H17" s="35" t="s">
        <v>255</v>
      </c>
      <c r="I17" s="36" t="s">
        <v>256</v>
      </c>
    </row>
    <row r="18" customFormat="false" ht="15" hidden="false" customHeight="false" outlineLevel="0" collapsed="false">
      <c r="A18" s="0" t="s">
        <v>257</v>
      </c>
      <c r="B18" s="0" t="s">
        <v>236</v>
      </c>
      <c r="C18" s="8" t="n">
        <v>3000</v>
      </c>
      <c r="D18" s="5" t="n">
        <v>3250000</v>
      </c>
      <c r="E18" s="5" t="n">
        <v>1083</v>
      </c>
      <c r="F18" s="35" t="s">
        <v>258</v>
      </c>
      <c r="G18" s="35" t="s">
        <v>220</v>
      </c>
      <c r="H18" s="35" t="s">
        <v>221</v>
      </c>
      <c r="I18" s="36" t="s">
        <v>259</v>
      </c>
    </row>
    <row r="19" customFormat="false" ht="15" hidden="false" customHeight="false" outlineLevel="0" collapsed="false">
      <c r="A19" s="0" t="s">
        <v>260</v>
      </c>
      <c r="B19" s="0" t="s">
        <v>261</v>
      </c>
      <c r="C19" s="8" t="n">
        <v>528</v>
      </c>
      <c r="D19" s="5" t="n">
        <v>595000</v>
      </c>
      <c r="E19" s="5" t="n">
        <v>1127</v>
      </c>
      <c r="F19" s="35" t="s">
        <v>262</v>
      </c>
      <c r="G19" s="35" t="s">
        <v>220</v>
      </c>
      <c r="H19" s="35" t="s">
        <v>263</v>
      </c>
      <c r="I19" s="36" t="s">
        <v>264</v>
      </c>
    </row>
    <row r="20" customFormat="false" ht="15" hidden="false" customHeight="false" outlineLevel="0" collapsed="false">
      <c r="A20" s="0" t="s">
        <v>265</v>
      </c>
      <c r="B20" s="0" t="s">
        <v>261</v>
      </c>
      <c r="C20" s="8" t="n">
        <v>1628</v>
      </c>
      <c r="D20" s="5" t="n">
        <v>1890000</v>
      </c>
      <c r="E20" s="5" t="n">
        <v>1161</v>
      </c>
      <c r="F20" s="35" t="s">
        <v>266</v>
      </c>
      <c r="G20" s="35" t="s">
        <v>220</v>
      </c>
      <c r="H20" s="35" t="s">
        <v>247</v>
      </c>
      <c r="I20" s="36" t="s">
        <v>267</v>
      </c>
    </row>
    <row r="21" customFormat="false" ht="15" hidden="false" customHeight="false" outlineLevel="0" collapsed="false">
      <c r="A21" s="0" t="s">
        <v>268</v>
      </c>
      <c r="B21" s="0" t="s">
        <v>269</v>
      </c>
      <c r="C21" s="8" t="n">
        <v>462</v>
      </c>
      <c r="D21" s="5" t="n">
        <v>545000</v>
      </c>
      <c r="E21" s="5" t="n">
        <v>1180</v>
      </c>
      <c r="F21" s="35" t="s">
        <v>270</v>
      </c>
      <c r="G21" s="35" t="s">
        <v>220</v>
      </c>
      <c r="H21" s="35" t="s">
        <v>271</v>
      </c>
      <c r="I21" s="36" t="s">
        <v>272</v>
      </c>
    </row>
    <row r="22" customFormat="false" ht="15" hidden="false" customHeight="false" outlineLevel="0" collapsed="false">
      <c r="A22" s="0" t="s">
        <v>273</v>
      </c>
      <c r="B22" s="0" t="s">
        <v>269</v>
      </c>
      <c r="C22" s="8" t="n">
        <v>471</v>
      </c>
      <c r="D22" s="5" t="n">
        <v>592500</v>
      </c>
      <c r="E22" s="5" t="n">
        <v>1258</v>
      </c>
      <c r="F22" s="35" t="s">
        <v>258</v>
      </c>
      <c r="G22" s="35" t="s">
        <v>220</v>
      </c>
      <c r="H22" s="35" t="s">
        <v>221</v>
      </c>
      <c r="I22" s="36" t="s">
        <v>274</v>
      </c>
    </row>
    <row r="23" customFormat="false" ht="15" hidden="false" customHeight="false" outlineLevel="0" collapsed="false">
      <c r="A23" s="0" t="s">
        <v>275</v>
      </c>
      <c r="B23" s="0" t="s">
        <v>261</v>
      </c>
      <c r="C23" s="8" t="n">
        <v>446</v>
      </c>
      <c r="D23" s="5" t="n">
        <v>575000</v>
      </c>
      <c r="E23" s="5" t="n">
        <v>1289</v>
      </c>
      <c r="F23" s="35" t="s">
        <v>262</v>
      </c>
      <c r="G23" s="35" t="s">
        <v>276</v>
      </c>
      <c r="H23" s="35" t="s">
        <v>263</v>
      </c>
      <c r="I23" s="36" t="s">
        <v>277</v>
      </c>
    </row>
    <row r="24" customFormat="false" ht="15" hidden="false" customHeight="false" outlineLevel="0" collapsed="false">
      <c r="A24" s="0" t="s">
        <v>278</v>
      </c>
      <c r="B24" s="0" t="s">
        <v>279</v>
      </c>
      <c r="C24" s="8" t="n">
        <v>869</v>
      </c>
      <c r="D24" s="5" t="n">
        <v>1195000</v>
      </c>
      <c r="E24" s="5" t="n">
        <v>1375</v>
      </c>
      <c r="F24" s="35" t="s">
        <v>233</v>
      </c>
      <c r="G24" s="35" t="s">
        <v>220</v>
      </c>
      <c r="H24" s="35" t="s">
        <v>263</v>
      </c>
      <c r="I24" s="36" t="s">
        <v>280</v>
      </c>
    </row>
    <row r="25" customFormat="false" ht="15" hidden="false" customHeight="false" outlineLevel="0" collapsed="false">
      <c r="A25" s="0" t="s">
        <v>281</v>
      </c>
      <c r="B25" s="0" t="s">
        <v>269</v>
      </c>
      <c r="C25" s="8" t="n">
        <v>563</v>
      </c>
      <c r="D25" s="5" t="n">
        <v>825000</v>
      </c>
      <c r="E25" s="5" t="n">
        <v>1465</v>
      </c>
      <c r="F25" s="35" t="s">
        <v>282</v>
      </c>
      <c r="G25" s="35" t="s">
        <v>220</v>
      </c>
      <c r="H25" s="35" t="s">
        <v>221</v>
      </c>
      <c r="I25" s="36" t="s">
        <v>283</v>
      </c>
    </row>
    <row r="26" customFormat="false" ht="15" hidden="false" customHeight="false" outlineLevel="0" collapsed="false">
      <c r="A26" s="0" t="s">
        <v>284</v>
      </c>
      <c r="B26" s="0" t="s">
        <v>279</v>
      </c>
      <c r="C26" s="8" t="n">
        <v>400</v>
      </c>
      <c r="D26" s="5" t="n">
        <v>592000</v>
      </c>
      <c r="E26" s="5" t="n">
        <v>1480</v>
      </c>
      <c r="F26" s="35" t="s">
        <v>285</v>
      </c>
      <c r="G26" s="35" t="s">
        <v>220</v>
      </c>
      <c r="H26" s="35" t="s">
        <v>221</v>
      </c>
      <c r="I26" s="36" t="s">
        <v>286</v>
      </c>
    </row>
    <row r="27" customFormat="false" ht="15" hidden="false" customHeight="false" outlineLevel="0" collapsed="false">
      <c r="A27" s="0" t="s">
        <v>287</v>
      </c>
      <c r="B27" s="0" t="s">
        <v>279</v>
      </c>
      <c r="C27" s="8" t="n">
        <v>1248</v>
      </c>
      <c r="D27" s="5" t="n">
        <v>1850000</v>
      </c>
      <c r="E27" s="5" t="n">
        <v>1482</v>
      </c>
      <c r="F27" s="35" t="s">
        <v>288</v>
      </c>
      <c r="G27" s="35" t="s">
        <v>220</v>
      </c>
      <c r="H27" s="35" t="s">
        <v>221</v>
      </c>
      <c r="I27" s="36" t="s">
        <v>289</v>
      </c>
    </row>
    <row r="28" customFormat="false" ht="15" hidden="false" customHeight="false" outlineLevel="0" collapsed="false">
      <c r="A28" s="0" t="s">
        <v>290</v>
      </c>
      <c r="B28" s="0" t="s">
        <v>253</v>
      </c>
      <c r="C28" s="8" t="n">
        <v>669</v>
      </c>
      <c r="D28" s="5" t="n">
        <v>995000</v>
      </c>
      <c r="E28" s="5" t="n">
        <v>1487</v>
      </c>
      <c r="F28" s="35" t="s">
        <v>258</v>
      </c>
      <c r="G28" s="35" t="s">
        <v>220</v>
      </c>
      <c r="H28" s="35" t="s">
        <v>291</v>
      </c>
      <c r="I28" s="36" t="s">
        <v>292</v>
      </c>
    </row>
    <row r="29" customFormat="false" ht="15" hidden="false" customHeight="false" outlineLevel="0" collapsed="false">
      <c r="A29" s="0" t="s">
        <v>293</v>
      </c>
      <c r="B29" s="0" t="s">
        <v>279</v>
      </c>
      <c r="C29" s="8" t="n">
        <v>635</v>
      </c>
      <c r="D29" s="5" t="n">
        <v>975000</v>
      </c>
      <c r="E29" s="5" t="n">
        <v>1535</v>
      </c>
      <c r="F29" s="35" t="s">
        <v>294</v>
      </c>
      <c r="G29" s="35" t="s">
        <v>220</v>
      </c>
      <c r="H29" s="35" t="s">
        <v>295</v>
      </c>
      <c r="I29" s="36" t="s">
        <v>296</v>
      </c>
    </row>
    <row r="30" customFormat="false" ht="15" hidden="false" customHeight="false" outlineLevel="0" collapsed="false">
      <c r="A30" s="0" t="s">
        <v>297</v>
      </c>
      <c r="B30" s="0" t="s">
        <v>261</v>
      </c>
      <c r="C30" s="8" t="n">
        <v>900</v>
      </c>
      <c r="D30" s="5" t="n">
        <v>1400000</v>
      </c>
      <c r="E30" s="5" t="n">
        <v>1556</v>
      </c>
      <c r="F30" s="35" t="s">
        <v>298</v>
      </c>
      <c r="G30" s="35" t="s">
        <v>220</v>
      </c>
      <c r="H30" s="35" t="s">
        <v>221</v>
      </c>
      <c r="I30" s="36" t="s">
        <v>299</v>
      </c>
    </row>
    <row r="31" customFormat="false" ht="15" hidden="false" customHeight="false" outlineLevel="0" collapsed="false">
      <c r="A31" s="0" t="s">
        <v>287</v>
      </c>
      <c r="B31" s="0" t="s">
        <v>279</v>
      </c>
      <c r="C31" s="8" t="n">
        <v>725</v>
      </c>
      <c r="D31" s="5" t="n">
        <v>1150000</v>
      </c>
      <c r="E31" s="5" t="n">
        <v>1586</v>
      </c>
      <c r="F31" s="35" t="s">
        <v>288</v>
      </c>
      <c r="G31" s="35" t="s">
        <v>220</v>
      </c>
      <c r="H31" s="35" t="s">
        <v>221</v>
      </c>
      <c r="I31" s="36" t="s">
        <v>300</v>
      </c>
    </row>
    <row r="32" customFormat="false" ht="15" hidden="false" customHeight="false" outlineLevel="0" collapsed="false">
      <c r="A32" s="0" t="s">
        <v>301</v>
      </c>
      <c r="B32" s="0" t="s">
        <v>269</v>
      </c>
      <c r="C32" s="8" t="n">
        <v>1205</v>
      </c>
      <c r="D32" s="5" t="n">
        <v>1950000</v>
      </c>
      <c r="E32" s="5" t="n">
        <v>1618</v>
      </c>
      <c r="F32" s="35" t="s">
        <v>246</v>
      </c>
      <c r="G32" s="35" t="s">
        <v>220</v>
      </c>
      <c r="H32" s="35" t="s">
        <v>302</v>
      </c>
      <c r="I32" s="36" t="s">
        <v>303</v>
      </c>
    </row>
    <row r="33" customFormat="false" ht="15" hidden="false" customHeight="false" outlineLevel="0" collapsed="false">
      <c r="A33" s="0" t="s">
        <v>304</v>
      </c>
      <c r="B33" s="0" t="s">
        <v>279</v>
      </c>
      <c r="C33" s="8" t="n">
        <v>774</v>
      </c>
      <c r="D33" s="5" t="n">
        <v>1345000</v>
      </c>
      <c r="E33" s="5" t="n">
        <v>1738</v>
      </c>
      <c r="F33" s="35" t="s">
        <v>282</v>
      </c>
      <c r="G33" s="35" t="s">
        <v>220</v>
      </c>
      <c r="H33" s="35" t="s">
        <v>221</v>
      </c>
      <c r="I33" s="36" t="s">
        <v>305</v>
      </c>
    </row>
    <row r="34" customFormat="false" ht="15" hidden="false" customHeight="false" outlineLevel="0" collapsed="false">
      <c r="A34" s="0" t="s">
        <v>306</v>
      </c>
      <c r="B34" s="0" t="s">
        <v>261</v>
      </c>
      <c r="C34" s="8" t="n">
        <v>762</v>
      </c>
      <c r="D34" s="5" t="n">
        <v>1325000</v>
      </c>
      <c r="E34" s="5" t="n">
        <v>1739</v>
      </c>
      <c r="F34" s="35" t="s">
        <v>307</v>
      </c>
      <c r="G34" s="35" t="s">
        <v>220</v>
      </c>
      <c r="H34" s="35" t="s">
        <v>247</v>
      </c>
      <c r="I34" s="36" t="s">
        <v>308</v>
      </c>
    </row>
    <row r="35" customFormat="false" ht="15" hidden="false" customHeight="false" outlineLevel="0" collapsed="false">
      <c r="A35" s="0" t="s">
        <v>287</v>
      </c>
      <c r="B35" s="0" t="s">
        <v>279</v>
      </c>
      <c r="C35" s="8" t="n">
        <v>460</v>
      </c>
      <c r="D35" s="5" t="n">
        <v>800000</v>
      </c>
      <c r="E35" s="5" t="n">
        <v>1739</v>
      </c>
      <c r="F35" s="35" t="s">
        <v>288</v>
      </c>
      <c r="G35" s="35" t="s">
        <v>220</v>
      </c>
      <c r="H35" s="35" t="s">
        <v>221</v>
      </c>
      <c r="I35" s="36" t="s">
        <v>309</v>
      </c>
    </row>
    <row r="37" customFormat="false" ht="15" hidden="false" customHeight="false" outlineLevel="0" collapsed="false">
      <c r="A37" s="3" t="s">
        <v>310</v>
      </c>
    </row>
    <row r="38" customFormat="false" ht="15" hidden="false" customHeight="false" outlineLevel="0" collapsed="false">
      <c r="A38" s="19" t="s">
        <v>208</v>
      </c>
      <c r="B38" s="19" t="s">
        <v>209</v>
      </c>
      <c r="C38" s="19" t="s">
        <v>210</v>
      </c>
      <c r="D38" s="19" t="s">
        <v>131</v>
      </c>
      <c r="E38" s="19" t="s">
        <v>311</v>
      </c>
      <c r="F38" s="19" t="s">
        <v>213</v>
      </c>
      <c r="G38" s="19"/>
      <c r="H38" s="19" t="s">
        <v>312</v>
      </c>
      <c r="I38" s="19" t="s">
        <v>216</v>
      </c>
    </row>
    <row r="39" customFormat="false" ht="15" hidden="false" customHeight="false" outlineLevel="0" collapsed="false">
      <c r="A39" s="0" t="s">
        <v>313</v>
      </c>
      <c r="B39" s="0" t="s">
        <v>279</v>
      </c>
      <c r="C39" s="8" t="n">
        <v>12137</v>
      </c>
      <c r="D39" s="9" t="n">
        <v>49.4</v>
      </c>
      <c r="E39" s="5" t="n">
        <v>599567.8</v>
      </c>
      <c r="F39" s="35" t="s">
        <v>285</v>
      </c>
      <c r="H39" s="35" t="s">
        <v>221</v>
      </c>
      <c r="I39" s="36" t="s">
        <v>314</v>
      </c>
    </row>
    <row r="40" customFormat="false" ht="15" hidden="false" customHeight="false" outlineLevel="0" collapsed="false">
      <c r="A40" s="0" t="s">
        <v>315</v>
      </c>
      <c r="B40" s="0" t="s">
        <v>279</v>
      </c>
      <c r="C40" s="8" t="n">
        <v>8583</v>
      </c>
      <c r="D40" s="9" t="n">
        <v>87.4</v>
      </c>
      <c r="E40" s="5" t="n">
        <v>750154.2</v>
      </c>
      <c r="F40" s="35" t="s">
        <v>316</v>
      </c>
      <c r="H40" s="35" t="s">
        <v>221</v>
      </c>
      <c r="I40" s="36" t="s">
        <v>317</v>
      </c>
    </row>
    <row r="41" customFormat="false" ht="15" hidden="false" customHeight="false" outlineLevel="0" collapsed="false">
      <c r="A41" s="0" t="s">
        <v>239</v>
      </c>
      <c r="B41" s="0" t="s">
        <v>218</v>
      </c>
      <c r="C41" s="8" t="n">
        <v>5180</v>
      </c>
      <c r="D41" s="9" t="n">
        <v>56.8</v>
      </c>
      <c r="E41" s="5" t="n">
        <v>294224</v>
      </c>
      <c r="F41" s="35" t="s">
        <v>240</v>
      </c>
      <c r="H41" s="35" t="s">
        <v>221</v>
      </c>
      <c r="I41" s="36" t="s">
        <v>318</v>
      </c>
    </row>
    <row r="42" customFormat="false" ht="15" hidden="false" customHeight="false" outlineLevel="0" collapsed="false">
      <c r="A42" s="0" t="s">
        <v>319</v>
      </c>
      <c r="B42" s="0" t="s">
        <v>236</v>
      </c>
      <c r="C42" s="8" t="n">
        <v>4676</v>
      </c>
      <c r="D42" s="9" t="n">
        <v>61.6</v>
      </c>
      <c r="E42" s="5" t="n">
        <v>288041.6</v>
      </c>
      <c r="F42" s="35" t="s">
        <v>320</v>
      </c>
      <c r="H42" s="35" t="s">
        <v>221</v>
      </c>
      <c r="I42" s="36" t="s">
        <v>321</v>
      </c>
    </row>
    <row r="43" customFormat="false" ht="15" hidden="false" customHeight="false" outlineLevel="0" collapsed="false">
      <c r="A43" s="0" t="s">
        <v>319</v>
      </c>
      <c r="B43" s="0" t="s">
        <v>236</v>
      </c>
      <c r="C43" s="8" t="n">
        <v>2900</v>
      </c>
      <c r="D43" s="9" t="n">
        <v>60</v>
      </c>
      <c r="E43" s="5" t="n">
        <v>174000</v>
      </c>
      <c r="F43" s="35" t="s">
        <v>320</v>
      </c>
      <c r="H43" s="35" t="s">
        <v>322</v>
      </c>
      <c r="I43" s="36" t="s">
        <v>323</v>
      </c>
    </row>
    <row r="44" customFormat="false" ht="15" hidden="false" customHeight="false" outlineLevel="0" collapsed="false">
      <c r="A44" s="0" t="s">
        <v>324</v>
      </c>
      <c r="B44" s="0" t="s">
        <v>253</v>
      </c>
      <c r="C44" s="8" t="n">
        <v>2710</v>
      </c>
      <c r="D44" s="9" t="n">
        <v>75.3</v>
      </c>
      <c r="E44" s="5" t="n">
        <v>204063</v>
      </c>
      <c r="F44" s="35" t="s">
        <v>240</v>
      </c>
      <c r="H44" s="35" t="s">
        <v>302</v>
      </c>
      <c r="I44" s="36" t="s">
        <v>325</v>
      </c>
    </row>
    <row r="45" customFormat="false" ht="15" hidden="false" customHeight="false" outlineLevel="0" collapsed="false">
      <c r="A45" s="0" t="s">
        <v>326</v>
      </c>
      <c r="B45" s="0" t="s">
        <v>253</v>
      </c>
      <c r="C45" s="8" t="n">
        <v>2695</v>
      </c>
      <c r="D45" s="9" t="n">
        <v>70.1</v>
      </c>
      <c r="E45" s="5" t="n">
        <v>188919.5</v>
      </c>
      <c r="F45" s="35" t="s">
        <v>327</v>
      </c>
      <c r="H45" s="35" t="s">
        <v>247</v>
      </c>
      <c r="I45" s="36" t="s">
        <v>328</v>
      </c>
    </row>
    <row r="46" customFormat="false" ht="15" hidden="false" customHeight="false" outlineLevel="0" collapsed="false">
      <c r="A46" s="0" t="s">
        <v>319</v>
      </c>
      <c r="B46" s="0" t="s">
        <v>236</v>
      </c>
      <c r="C46" s="8" t="n">
        <v>1776</v>
      </c>
      <c r="D46" s="9" t="n">
        <v>64.2</v>
      </c>
      <c r="E46" s="5" t="n">
        <v>114019.2</v>
      </c>
      <c r="F46" s="35" t="s">
        <v>320</v>
      </c>
      <c r="H46" s="35" t="s">
        <v>322</v>
      </c>
      <c r="I46" s="36" t="s">
        <v>329</v>
      </c>
    </row>
    <row r="47" customFormat="false" ht="15" hidden="false" customHeight="false" outlineLevel="0" collapsed="false">
      <c r="A47" s="0" t="s">
        <v>330</v>
      </c>
      <c r="B47" s="0" t="s">
        <v>279</v>
      </c>
      <c r="C47" s="8" t="n">
        <v>1713</v>
      </c>
      <c r="D47" s="9" t="n">
        <v>57.4</v>
      </c>
      <c r="E47" s="5" t="n">
        <v>98326.2</v>
      </c>
      <c r="F47" s="35" t="s">
        <v>331</v>
      </c>
      <c r="H47" s="35" t="s">
        <v>221</v>
      </c>
      <c r="I47" s="36" t="s">
        <v>332</v>
      </c>
    </row>
    <row r="48" customFormat="false" ht="15" hidden="false" customHeight="false" outlineLevel="0" collapsed="false">
      <c r="A48" s="0" t="s">
        <v>333</v>
      </c>
      <c r="B48" s="0" t="s">
        <v>269</v>
      </c>
      <c r="C48" s="8" t="n">
        <v>1485</v>
      </c>
      <c r="D48" s="9" t="n">
        <v>75.1</v>
      </c>
      <c r="E48" s="5" t="n">
        <v>111523.5</v>
      </c>
      <c r="F48" s="35" t="s">
        <v>334</v>
      </c>
      <c r="H48" s="35" t="s">
        <v>221</v>
      </c>
      <c r="I48" s="36" t="s">
        <v>335</v>
      </c>
    </row>
    <row r="49" customFormat="false" ht="15" hidden="false" customHeight="false" outlineLevel="0" collapsed="false">
      <c r="A49" s="0" t="s">
        <v>336</v>
      </c>
      <c r="B49" s="0" t="s">
        <v>269</v>
      </c>
      <c r="C49" s="8" t="n">
        <v>1413</v>
      </c>
      <c r="D49" s="9" t="n">
        <v>78.6</v>
      </c>
      <c r="E49" s="5" t="n">
        <v>111061.8</v>
      </c>
      <c r="F49" s="35" t="s">
        <v>337</v>
      </c>
      <c r="H49" s="35" t="s">
        <v>263</v>
      </c>
      <c r="I49" s="36" t="s">
        <v>338</v>
      </c>
    </row>
    <row r="50" customFormat="false" ht="15" hidden="false" customHeight="false" outlineLevel="0" collapsed="false">
      <c r="A50" s="0" t="s">
        <v>339</v>
      </c>
      <c r="B50" s="0" t="s">
        <v>261</v>
      </c>
      <c r="C50" s="8" t="n">
        <v>1308</v>
      </c>
      <c r="D50" s="9" t="n">
        <v>82.6</v>
      </c>
      <c r="E50" s="5" t="n">
        <v>108040.8</v>
      </c>
      <c r="F50" s="35" t="s">
        <v>254</v>
      </c>
      <c r="H50" s="35" t="s">
        <v>340</v>
      </c>
      <c r="I50" s="36" t="s">
        <v>341</v>
      </c>
    </row>
    <row r="51" customFormat="false" ht="15" hidden="false" customHeight="false" outlineLevel="0" collapsed="false">
      <c r="A51" s="0" t="s">
        <v>342</v>
      </c>
      <c r="B51" s="0" t="s">
        <v>261</v>
      </c>
      <c r="C51" s="8" t="n">
        <v>1278</v>
      </c>
      <c r="D51" s="9" t="n">
        <v>56.8</v>
      </c>
      <c r="E51" s="5" t="n">
        <v>72590.4</v>
      </c>
      <c r="F51" s="35" t="s">
        <v>343</v>
      </c>
      <c r="H51" s="35" t="s">
        <v>255</v>
      </c>
      <c r="I51" s="36" t="s">
        <v>344</v>
      </c>
    </row>
    <row r="52" customFormat="false" ht="15" hidden="false" customHeight="false" outlineLevel="0" collapsed="false">
      <c r="A52" s="0" t="s">
        <v>287</v>
      </c>
      <c r="B52" s="0" t="s">
        <v>279</v>
      </c>
      <c r="C52" s="8" t="n">
        <v>1248</v>
      </c>
      <c r="D52" s="9" t="n">
        <v>118.2</v>
      </c>
      <c r="E52" s="5" t="n">
        <v>147513.6</v>
      </c>
      <c r="F52" s="35" t="s">
        <v>288</v>
      </c>
      <c r="H52" s="35" t="s">
        <v>221</v>
      </c>
      <c r="I52" s="36" t="s">
        <v>345</v>
      </c>
    </row>
    <row r="53" customFormat="false" ht="15" hidden="false" customHeight="false" outlineLevel="0" collapsed="false">
      <c r="A53" s="0" t="s">
        <v>346</v>
      </c>
      <c r="B53" s="0" t="s">
        <v>261</v>
      </c>
      <c r="C53" s="8" t="n">
        <v>976</v>
      </c>
      <c r="D53" s="9" t="n">
        <v>153.7</v>
      </c>
      <c r="E53" s="5" t="n">
        <v>150011.2</v>
      </c>
      <c r="F53" s="35" t="s">
        <v>307</v>
      </c>
      <c r="H53" s="35" t="s">
        <v>247</v>
      </c>
      <c r="I53" s="36" t="s">
        <v>347</v>
      </c>
    </row>
    <row r="54" customFormat="false" ht="15" hidden="false" customHeight="false" outlineLevel="0" collapsed="false">
      <c r="A54" s="0" t="s">
        <v>339</v>
      </c>
      <c r="B54" s="0" t="s">
        <v>261</v>
      </c>
      <c r="C54" s="8" t="n">
        <v>850</v>
      </c>
      <c r="D54" s="9" t="n">
        <v>84.7</v>
      </c>
      <c r="E54" s="5" t="n">
        <v>71995</v>
      </c>
      <c r="F54" s="35" t="s">
        <v>254</v>
      </c>
      <c r="H54" s="35" t="s">
        <v>348</v>
      </c>
      <c r="I54" s="36" t="s">
        <v>349</v>
      </c>
    </row>
    <row r="55" customFormat="false" ht="15" hidden="false" customHeight="false" outlineLevel="0" collapsed="false">
      <c r="A55" s="0" t="s">
        <v>306</v>
      </c>
      <c r="B55" s="0" t="s">
        <v>261</v>
      </c>
      <c r="C55" s="8" t="n">
        <v>762</v>
      </c>
      <c r="D55" s="9" t="n">
        <v>109.4</v>
      </c>
      <c r="E55" s="5" t="n">
        <v>83362.8</v>
      </c>
      <c r="F55" s="35" t="s">
        <v>307</v>
      </c>
      <c r="H55" s="35" t="s">
        <v>247</v>
      </c>
      <c r="I55" s="36" t="s">
        <v>350</v>
      </c>
    </row>
    <row r="56" customFormat="false" ht="15" hidden="false" customHeight="false" outlineLevel="0" collapsed="false">
      <c r="A56" s="0" t="s">
        <v>351</v>
      </c>
      <c r="B56" s="0" t="s">
        <v>352</v>
      </c>
      <c r="C56" s="8" t="n">
        <v>531</v>
      </c>
      <c r="D56" s="9" t="n">
        <v>58.2</v>
      </c>
      <c r="E56" s="5" t="n">
        <v>30904.2</v>
      </c>
      <c r="F56" s="35" t="s">
        <v>353</v>
      </c>
      <c r="H56" s="35" t="s">
        <v>295</v>
      </c>
      <c r="I56" s="36" t="s">
        <v>354</v>
      </c>
    </row>
    <row r="57" customFormat="false" ht="15" hidden="false" customHeight="false" outlineLevel="0" collapsed="false">
      <c r="A57" s="0" t="s">
        <v>355</v>
      </c>
      <c r="B57" s="0" t="s">
        <v>269</v>
      </c>
      <c r="C57" s="8" t="n">
        <v>482</v>
      </c>
      <c r="D57" s="9" t="n">
        <v>114.1</v>
      </c>
      <c r="E57" s="5" t="n">
        <v>54996.2</v>
      </c>
      <c r="F57" s="35" t="s">
        <v>356</v>
      </c>
      <c r="H57" s="35" t="s">
        <v>263</v>
      </c>
      <c r="I57" s="36" t="s">
        <v>357</v>
      </c>
    </row>
    <row r="58" customFormat="false" ht="15" hidden="false" customHeight="false" outlineLevel="0" collapsed="false">
      <c r="A58" s="0" t="s">
        <v>358</v>
      </c>
      <c r="B58" s="0" t="s">
        <v>253</v>
      </c>
      <c r="C58" s="8" t="n">
        <v>450</v>
      </c>
      <c r="D58" s="9" t="n">
        <v>144.4</v>
      </c>
      <c r="E58" s="5" t="n">
        <v>64980</v>
      </c>
      <c r="F58" s="35" t="s">
        <v>359</v>
      </c>
      <c r="H58" s="35" t="s">
        <v>263</v>
      </c>
      <c r="I58" s="36" t="s">
        <v>360</v>
      </c>
    </row>
    <row r="59" customFormat="false" ht="15" hidden="false" customHeight="false" outlineLevel="0" collapsed="false">
      <c r="A59" s="0" t="s">
        <v>361</v>
      </c>
      <c r="B59" s="0" t="s">
        <v>269</v>
      </c>
      <c r="C59" s="8" t="n">
        <v>438</v>
      </c>
      <c r="D59" s="9" t="n">
        <v>99</v>
      </c>
      <c r="E59" s="5" t="n">
        <v>43362</v>
      </c>
      <c r="F59" s="35" t="s">
        <v>362</v>
      </c>
      <c r="H59" s="35" t="s">
        <v>363</v>
      </c>
      <c r="I59" s="36" t="s">
        <v>364</v>
      </c>
    </row>
    <row r="60" customFormat="false" ht="15" hidden="false" customHeight="false" outlineLevel="0" collapsed="false">
      <c r="A60" s="0" t="s">
        <v>365</v>
      </c>
      <c r="B60" s="0" t="s">
        <v>269</v>
      </c>
      <c r="C60" s="8" t="n">
        <v>366</v>
      </c>
      <c r="D60" s="9" t="n">
        <v>94.9</v>
      </c>
      <c r="E60" s="5" t="n">
        <v>34733.4</v>
      </c>
      <c r="F60" s="35" t="s">
        <v>356</v>
      </c>
      <c r="H60" s="35" t="s">
        <v>221</v>
      </c>
      <c r="I60" s="36" t="s">
        <v>366</v>
      </c>
    </row>
    <row r="61" customFormat="false" ht="15" hidden="false" customHeight="false" outlineLevel="0" collapsed="false">
      <c r="A61" s="0" t="s">
        <v>367</v>
      </c>
      <c r="B61" s="0" t="s">
        <v>236</v>
      </c>
      <c r="C61" s="8" t="n">
        <v>365</v>
      </c>
      <c r="D61" s="9" t="n">
        <v>70.7</v>
      </c>
      <c r="E61" s="5" t="n">
        <v>25805.5</v>
      </c>
      <c r="F61" s="35" t="s">
        <v>368</v>
      </c>
      <c r="H61" s="35" t="s">
        <v>221</v>
      </c>
      <c r="I61" s="36" t="s">
        <v>369</v>
      </c>
    </row>
    <row r="62" customFormat="false" ht="15" hidden="false" customHeight="false" outlineLevel="0" collapsed="false">
      <c r="A62" s="0" t="s">
        <v>370</v>
      </c>
      <c r="B62" s="0" t="s">
        <v>253</v>
      </c>
      <c r="C62" s="8" t="n">
        <v>344</v>
      </c>
      <c r="D62" s="9" t="n">
        <v>99.4</v>
      </c>
      <c r="E62" s="5" t="n">
        <v>34193.6</v>
      </c>
      <c r="F62" s="35" t="s">
        <v>246</v>
      </c>
      <c r="H62" s="35" t="s">
        <v>221</v>
      </c>
      <c r="I62" s="36" t="s">
        <v>371</v>
      </c>
    </row>
    <row r="63" customFormat="false" ht="15" hidden="false" customHeight="false" outlineLevel="0" collapsed="false">
      <c r="A63" s="0" t="s">
        <v>372</v>
      </c>
      <c r="B63" s="0" t="s">
        <v>279</v>
      </c>
      <c r="C63" s="8" t="n">
        <v>342</v>
      </c>
      <c r="D63" s="9" t="n">
        <v>82.5</v>
      </c>
      <c r="E63" s="5" t="n">
        <v>28215</v>
      </c>
      <c r="F63" s="35" t="s">
        <v>373</v>
      </c>
      <c r="H63" s="35" t="s">
        <v>374</v>
      </c>
      <c r="I63" s="36" t="s">
        <v>375</v>
      </c>
    </row>
    <row r="64" customFormat="false" ht="15" hidden="false" customHeight="false" outlineLevel="0" collapsed="false">
      <c r="A64" s="0" t="s">
        <v>376</v>
      </c>
      <c r="B64" s="0" t="s">
        <v>245</v>
      </c>
      <c r="C64" s="8" t="n">
        <v>336</v>
      </c>
      <c r="D64" s="9" t="n">
        <v>64.1</v>
      </c>
      <c r="E64" s="5" t="n">
        <v>21537.6</v>
      </c>
      <c r="F64" s="35" t="s">
        <v>359</v>
      </c>
      <c r="H64" s="35" t="s">
        <v>221</v>
      </c>
      <c r="I64" s="36" t="s">
        <v>377</v>
      </c>
    </row>
    <row r="65" customFormat="false" ht="15" hidden="false" customHeight="false" outlineLevel="0" collapsed="false">
      <c r="A65" s="0" t="s">
        <v>378</v>
      </c>
      <c r="B65" s="0" t="s">
        <v>253</v>
      </c>
      <c r="C65" s="8" t="n">
        <v>335</v>
      </c>
      <c r="D65" s="9" t="n">
        <v>95.5</v>
      </c>
      <c r="E65" s="5" t="n">
        <v>31992.5</v>
      </c>
      <c r="F65" s="35" t="s">
        <v>316</v>
      </c>
      <c r="H65" s="35" t="s">
        <v>263</v>
      </c>
      <c r="I65" s="36" t="s">
        <v>379</v>
      </c>
    </row>
    <row r="66" customFormat="false" ht="15" hidden="false" customHeight="false" outlineLevel="0" collapsed="false">
      <c r="A66" s="0" t="s">
        <v>380</v>
      </c>
      <c r="B66" s="0" t="s">
        <v>253</v>
      </c>
      <c r="C66" s="8" t="n">
        <v>333</v>
      </c>
      <c r="D66" s="9" t="n">
        <v>84.7</v>
      </c>
      <c r="E66" s="5" t="n">
        <v>28205.1</v>
      </c>
      <c r="F66" s="35" t="s">
        <v>327</v>
      </c>
      <c r="H66" s="35" t="s">
        <v>263</v>
      </c>
      <c r="I66" s="36" t="s">
        <v>381</v>
      </c>
    </row>
    <row r="67" customFormat="false" ht="15" hidden="false" customHeight="false" outlineLevel="0" collapsed="false">
      <c r="A67" s="0" t="s">
        <v>382</v>
      </c>
      <c r="B67" s="0" t="s">
        <v>245</v>
      </c>
      <c r="C67" s="8" t="n">
        <v>330</v>
      </c>
      <c r="D67" s="9" t="n">
        <v>75.8</v>
      </c>
      <c r="E67" s="5" t="n">
        <v>25014</v>
      </c>
      <c r="F67" s="35" t="s">
        <v>383</v>
      </c>
      <c r="H67" s="35" t="s">
        <v>221</v>
      </c>
      <c r="I67" s="36" t="s">
        <v>384</v>
      </c>
    </row>
    <row r="68" customFormat="false" ht="15" hidden="false" customHeight="false" outlineLevel="0" collapsed="false">
      <c r="A68" s="0" t="s">
        <v>385</v>
      </c>
      <c r="B68" s="0" t="s">
        <v>253</v>
      </c>
      <c r="C68" s="8" t="n">
        <v>325</v>
      </c>
      <c r="D68" s="9" t="n">
        <v>83.1</v>
      </c>
      <c r="E68" s="5" t="n">
        <v>27007.5</v>
      </c>
      <c r="F68" s="35" t="s">
        <v>254</v>
      </c>
      <c r="H68" s="35" t="s">
        <v>363</v>
      </c>
      <c r="I68" s="36" t="s">
        <v>386</v>
      </c>
    </row>
    <row r="69" customFormat="false" ht="15" hidden="false" customHeight="false" outlineLevel="0" collapsed="false">
      <c r="A69" s="0" t="s">
        <v>387</v>
      </c>
      <c r="B69" s="0" t="s">
        <v>218</v>
      </c>
      <c r="C69" s="8" t="n">
        <v>311</v>
      </c>
      <c r="D69" s="9" t="n">
        <v>192.9</v>
      </c>
      <c r="E69" s="5" t="n">
        <v>59991.9</v>
      </c>
      <c r="F69" s="35" t="s">
        <v>388</v>
      </c>
      <c r="H69" s="35" t="s">
        <v>221</v>
      </c>
      <c r="I69" s="36" t="s">
        <v>389</v>
      </c>
    </row>
    <row r="70" customFormat="false" ht="15" hidden="false" customHeight="false" outlineLevel="0" collapsed="false">
      <c r="A70" s="0" t="s">
        <v>390</v>
      </c>
      <c r="B70" s="0" t="s">
        <v>269</v>
      </c>
      <c r="C70" s="8" t="n">
        <v>310</v>
      </c>
      <c r="D70" s="9" t="n">
        <v>97.5</v>
      </c>
      <c r="E70" s="5" t="n">
        <v>30225</v>
      </c>
      <c r="F70" s="35" t="s">
        <v>391</v>
      </c>
      <c r="H70" s="35" t="s">
        <v>221</v>
      </c>
      <c r="I70" s="36" t="s">
        <v>392</v>
      </c>
    </row>
    <row r="71" customFormat="false" ht="15" hidden="false" customHeight="false" outlineLevel="0" collapsed="false">
      <c r="A71" s="0" t="s">
        <v>393</v>
      </c>
      <c r="B71" s="0" t="s">
        <v>261</v>
      </c>
      <c r="C71" s="8" t="n">
        <v>304</v>
      </c>
      <c r="D71" s="9" t="n">
        <v>112.6</v>
      </c>
      <c r="E71" s="5" t="n">
        <v>34230.4</v>
      </c>
      <c r="F71" s="35" t="s">
        <v>373</v>
      </c>
      <c r="H71" s="35" t="s">
        <v>363</v>
      </c>
      <c r="I71" s="36" t="s">
        <v>394</v>
      </c>
    </row>
    <row r="72" customFormat="false" ht="15" hidden="false" customHeight="false" outlineLevel="0" collapsed="false">
      <c r="A72" s="0" t="s">
        <v>395</v>
      </c>
      <c r="B72" s="0" t="s">
        <v>253</v>
      </c>
      <c r="C72" s="8" t="n">
        <v>300</v>
      </c>
      <c r="D72" s="9" t="n">
        <v>108</v>
      </c>
      <c r="E72" s="5" t="n">
        <v>32400</v>
      </c>
      <c r="F72" s="35" t="s">
        <v>246</v>
      </c>
      <c r="H72" s="35" t="s">
        <v>221</v>
      </c>
      <c r="I72" s="36" t="s">
        <v>396</v>
      </c>
    </row>
    <row r="73" customFormat="false" ht="15" hidden="false" customHeight="false" outlineLevel="0" collapsed="false">
      <c r="A73" s="0" t="s">
        <v>397</v>
      </c>
      <c r="B73" s="0" t="s">
        <v>253</v>
      </c>
      <c r="C73" s="8" t="n">
        <v>300</v>
      </c>
      <c r="D73" s="9" t="n">
        <v>78</v>
      </c>
      <c r="E73" s="5" t="n">
        <v>23400</v>
      </c>
      <c r="F73" s="35" t="s">
        <v>398</v>
      </c>
      <c r="H73" s="35" t="s">
        <v>263</v>
      </c>
      <c r="I73" s="36" t="s">
        <v>399</v>
      </c>
    </row>
    <row r="75" customFormat="false" ht="15" hidden="false" customHeight="false" outlineLevel="0" collapsed="false">
      <c r="A75" s="3" t="s">
        <v>400</v>
      </c>
    </row>
    <row r="76" customFormat="false" ht="15" hidden="false" customHeight="false" outlineLevel="0" collapsed="false">
      <c r="A76" s="19" t="s">
        <v>208</v>
      </c>
      <c r="B76" s="19" t="s">
        <v>209</v>
      </c>
      <c r="C76" s="19" t="s">
        <v>210</v>
      </c>
      <c r="D76" s="19" t="s">
        <v>211</v>
      </c>
      <c r="E76" s="19" t="s">
        <v>132</v>
      </c>
      <c r="F76" s="19" t="s">
        <v>401</v>
      </c>
      <c r="G76" s="19" t="s">
        <v>213</v>
      </c>
      <c r="H76" s="19" t="s">
        <v>215</v>
      </c>
      <c r="I76" s="19" t="s">
        <v>216</v>
      </c>
    </row>
    <row r="77" customFormat="false" ht="15" hidden="false" customHeight="false" outlineLevel="0" collapsed="false">
      <c r="A77" s="0" t="s">
        <v>402</v>
      </c>
      <c r="B77" s="0" t="s">
        <v>279</v>
      </c>
      <c r="C77" s="8" t="n">
        <v>188</v>
      </c>
      <c r="D77" s="5" t="n">
        <v>450000</v>
      </c>
      <c r="E77" s="5" t="n">
        <v>37500</v>
      </c>
      <c r="F77" s="12" t="n">
        <v>0.0833</v>
      </c>
      <c r="G77" s="35" t="s">
        <v>403</v>
      </c>
      <c r="H77" s="35" t="s">
        <v>404</v>
      </c>
      <c r="I77" s="36" t="s">
        <v>405</v>
      </c>
    </row>
    <row r="78" customFormat="false" ht="15" hidden="false" customHeight="false" outlineLevel="0" collapsed="false">
      <c r="A78" s="0" t="s">
        <v>406</v>
      </c>
      <c r="B78" s="0" t="s">
        <v>218</v>
      </c>
      <c r="C78" s="8" t="n">
        <v>583</v>
      </c>
      <c r="D78" s="5" t="n">
        <v>575000</v>
      </c>
      <c r="E78" s="5" t="n">
        <v>51096</v>
      </c>
      <c r="F78" s="12" t="n">
        <v>0.0889</v>
      </c>
      <c r="G78" s="35" t="s">
        <v>407</v>
      </c>
      <c r="H78" s="35" t="s">
        <v>221</v>
      </c>
      <c r="I78" s="36" t="s">
        <v>408</v>
      </c>
    </row>
    <row r="79" customFormat="false" ht="15" hidden="false" customHeight="false" outlineLevel="0" collapsed="false">
      <c r="A79" s="0" t="s">
        <v>409</v>
      </c>
      <c r="B79" s="0" t="s">
        <v>279</v>
      </c>
      <c r="C79" s="8" t="n">
        <v>190</v>
      </c>
      <c r="D79" s="5" t="n">
        <v>395000</v>
      </c>
      <c r="E79" s="5" t="n">
        <v>36933</v>
      </c>
      <c r="F79" s="12" t="n">
        <v>0.0935</v>
      </c>
      <c r="G79" s="35" t="s">
        <v>320</v>
      </c>
      <c r="H79" s="35" t="s">
        <v>221</v>
      </c>
      <c r="I79" s="36" t="s">
        <v>410</v>
      </c>
    </row>
    <row r="80" customFormat="false" ht="15" hidden="false" customHeight="false" outlineLevel="0" collapsed="false">
      <c r="A80" s="0" t="s">
        <v>411</v>
      </c>
      <c r="B80" s="0" t="s">
        <v>218</v>
      </c>
      <c r="C80" s="8" t="n">
        <v>2117</v>
      </c>
      <c r="D80" s="5" t="n">
        <v>1650000</v>
      </c>
      <c r="E80" s="5" t="n">
        <v>141000</v>
      </c>
      <c r="F80" s="12" t="n">
        <v>0.0855</v>
      </c>
      <c r="G80" s="35" t="s">
        <v>412</v>
      </c>
      <c r="H80" s="35" t="s">
        <v>413</v>
      </c>
      <c r="I80" s="36" t="s">
        <v>414</v>
      </c>
    </row>
    <row r="82" customFormat="false" ht="15" hidden="false" customHeight="false" outlineLevel="0" collapsed="false">
      <c r="A82" s="3" t="s">
        <v>415</v>
      </c>
    </row>
    <row r="83" customFormat="false" ht="15" hidden="false" customHeight="false" outlineLevel="0" collapsed="false">
      <c r="A83" s="19" t="s">
        <v>416</v>
      </c>
      <c r="B83" s="19" t="s">
        <v>417</v>
      </c>
      <c r="C83" s="19" t="s">
        <v>418</v>
      </c>
      <c r="D83" s="19" t="s">
        <v>154</v>
      </c>
      <c r="E83" s="19" t="s">
        <v>419</v>
      </c>
      <c r="F83" s="19" t="s">
        <v>420</v>
      </c>
      <c r="G83" s="19" t="s">
        <v>421</v>
      </c>
      <c r="H83" s="19" t="s">
        <v>422</v>
      </c>
    </row>
    <row r="84" customFormat="false" ht="15" hidden="false" customHeight="false" outlineLevel="0" collapsed="false">
      <c r="A84" s="0" t="s">
        <v>423</v>
      </c>
      <c r="B84" s="5" t="n">
        <v>1495000</v>
      </c>
      <c r="C84" s="5" t="n">
        <v>125625</v>
      </c>
      <c r="D84" s="12" t="n">
        <v>0.0825</v>
      </c>
      <c r="E84" s="5" t="n">
        <v>-206035.018181818</v>
      </c>
      <c r="F84" s="10" t="n">
        <v>0.123050058637015</v>
      </c>
      <c r="G84" s="10" t="n">
        <v>0.208566228484954</v>
      </c>
      <c r="H84" s="5" t="n">
        <v>1183193.48841499</v>
      </c>
    </row>
    <row r="85" customFormat="false" ht="15" hidden="false" customHeight="false" outlineLevel="0" collapsed="false">
      <c r="A85" s="0" t="s">
        <v>424</v>
      </c>
      <c r="B85" s="5" t="n">
        <v>1795000</v>
      </c>
      <c r="C85" s="5" t="n">
        <v>135875</v>
      </c>
      <c r="D85" s="12" t="n">
        <v>0.0775</v>
      </c>
      <c r="E85" s="5" t="n">
        <v>-311155.182795699</v>
      </c>
      <c r="F85" s="10" t="n">
        <v>0.154772772978362</v>
      </c>
      <c r="G85" s="10" t="n">
        <v>0.236612677736571</v>
      </c>
      <c r="H85" s="5" t="n">
        <v>1370280.24346286</v>
      </c>
    </row>
    <row r="86" customFormat="false" ht="15" hidden="false" customHeight="false" outlineLevel="0" collapsed="false">
      <c r="A86" s="0" t="s">
        <v>425</v>
      </c>
      <c r="B86" s="5" t="n">
        <v>1099000</v>
      </c>
      <c r="C86" s="5" t="n">
        <v>71500</v>
      </c>
      <c r="D86" s="12" t="n">
        <v>0.0825</v>
      </c>
      <c r="E86" s="5" t="n">
        <v>-401725</v>
      </c>
      <c r="F86" s="10" t="n">
        <v>0.32637218900299</v>
      </c>
      <c r="G86" s="10" t="n">
        <v>0.392581902477262</v>
      </c>
      <c r="H86" s="5" t="n">
        <v>667552.489177489</v>
      </c>
    </row>
    <row r="87" customFormat="false" ht="15" hidden="false" customHeight="false" outlineLevel="0" collapsed="false">
      <c r="A87" s="0" t="s">
        <v>426</v>
      </c>
      <c r="B87" s="5" t="n">
        <v>1125000</v>
      </c>
      <c r="C87" s="5" t="n">
        <v>78500</v>
      </c>
      <c r="D87" s="12" t="n">
        <v>0.075</v>
      </c>
      <c r="E87" s="5" t="n">
        <v>-241047.533333333</v>
      </c>
      <c r="F87" s="10" t="n">
        <v>0.191307566137566</v>
      </c>
      <c r="G87" s="10" t="n">
        <v>0.26918455026455</v>
      </c>
      <c r="H87" s="5" t="n">
        <v>822167.380952381</v>
      </c>
    </row>
    <row r="88" customFormat="false" ht="15" hidden="false" customHeight="false" outlineLevel="0" collapsed="false">
      <c r="A88" s="0" t="s">
        <v>427</v>
      </c>
      <c r="B88" s="5" t="n">
        <v>495000</v>
      </c>
      <c r="C88" s="5" t="n">
        <v>35190</v>
      </c>
      <c r="D88" s="12" t="n">
        <v>0.075</v>
      </c>
      <c r="E88" s="5" t="n">
        <v>-107417.2</v>
      </c>
      <c r="F88" s="10" t="n">
        <v>0.193753968253968</v>
      </c>
      <c r="G88" s="10" t="n">
        <v>0.273096500721501</v>
      </c>
      <c r="H88" s="5" t="n">
        <v>359817.232142857</v>
      </c>
    </row>
    <row r="89" customFormat="false" ht="15" hidden="false" customHeight="false" outlineLevel="0" collapsed="false">
      <c r="A89" s="0" t="s">
        <v>428</v>
      </c>
      <c r="B89" s="5" t="n">
        <v>390000</v>
      </c>
      <c r="C89" s="5" t="n">
        <v>28000</v>
      </c>
      <c r="D89" s="12" t="n">
        <v>0.0775</v>
      </c>
      <c r="E89" s="5" t="n">
        <v>-98774.1397849462</v>
      </c>
      <c r="F89" s="10" t="n">
        <v>0.226131272401434</v>
      </c>
      <c r="G89" s="10" t="n">
        <v>0.303753023410281</v>
      </c>
      <c r="H89" s="5" t="n">
        <v>271536.32086999</v>
      </c>
    </row>
    <row r="90" customFormat="false" ht="15" hidden="false" customHeight="false" outlineLevel="0" collapsed="false">
      <c r="A90" s="0" t="s">
        <v>429</v>
      </c>
      <c r="B90" s="5" t="n">
        <v>825000</v>
      </c>
      <c r="C90" s="5" t="n">
        <v>65100</v>
      </c>
      <c r="D90" s="12" t="n">
        <v>0.0725</v>
      </c>
      <c r="E90" s="5" t="n">
        <v>-53582.1034482757</v>
      </c>
      <c r="F90" s="10" t="n">
        <v>0.0579892894461861</v>
      </c>
      <c r="G90" s="10" t="n">
        <v>0.14900227985181</v>
      </c>
      <c r="H90" s="5" t="n">
        <v>702073.119122257</v>
      </c>
    </row>
    <row r="91" customFormat="false" ht="15" hidden="false" customHeight="false" outlineLevel="0" collapsed="false">
      <c r="A91" s="0" t="s">
        <v>430</v>
      </c>
      <c r="B91" s="5" t="n">
        <v>550000</v>
      </c>
      <c r="C91" s="5" t="n">
        <v>38920</v>
      </c>
      <c r="D91" s="12" t="n">
        <v>0.0725</v>
      </c>
      <c r="E91" s="5" t="n">
        <v>-100534.691954023</v>
      </c>
      <c r="F91" s="10" t="n">
        <v>0.163205668756531</v>
      </c>
      <c r="G91" s="10" t="n">
        <v>0.244823769829961</v>
      </c>
      <c r="H91" s="5" t="n">
        <v>415346.926593522</v>
      </c>
    </row>
  </sheetData>
  <hyperlinks>
    <hyperlink ref="I6" r:id="rId1" display="https://www.fundainbusiness.nl/bedrijfshal/hoorn-nh/object-89466410-kernweg-6/"/>
    <hyperlink ref="I7" r:id="rId2" display="https://www.fundainbusiness.nl/bedrijfshal/hoorn-nh/object-89466418-protonweg-13/"/>
    <hyperlink ref="I8" r:id="rId3" display="https://www.fundainbusiness.nl/bedrijfshal/hoorn-nh/object-89466413-neutronweg-7/"/>
    <hyperlink ref="I9" r:id="rId4" display="https://www.fundainbusiness.nl/bedrijfshal/hoorn-nh/object-43274830-electronweg-19-23/"/>
    <hyperlink ref="I10" r:id="rId5" display="https://www.fundainbusiness.nl/bedrijfshal/hoorn-nh/object-43955233-kernweg-1/"/>
    <hyperlink ref="I11" r:id="rId6" display="https://www.fundainbusiness.nl/bedrijfshal/wieringerwerf/object-43142682-schelphorst-4/"/>
    <hyperlink ref="I12" r:id="rId7" display="https://www.fundainbusiness.nl/bedrijfshal/hoorn-nh/object-43095324-electronplein-1/"/>
    <hyperlink ref="I13" r:id="rId8" display="https://www.fundainbusiness.nl/bedrijfshal/hoorn-nh/object-44510584-electronplein-1/"/>
    <hyperlink ref="I14" r:id="rId9" display="https://www.fundainbusiness.nl/bedrijfshal/enkhuizen/object-44585555-de-star-5-a/"/>
    <hyperlink ref="I15" r:id="rId10" display="https://www.fundainbusiness.nl/bedrijfshal/hoorn-nh/object-44504456-electronplein-1/"/>
    <hyperlink ref="I16" r:id="rId11" display="https://www.fundainbusiness.nl/bedrijfshal/hoorn-nh/object-89466524-kernweg-4/"/>
    <hyperlink ref="I17" r:id="rId12" display="https://www.fundainbusiness.nl/bedrijfshal/zwaag/object-80854248-de-marowijne-45/"/>
    <hyperlink ref="I18" r:id="rId13" display="https://www.fundainbusiness.nl/bedrijfshal/wieringerwerf/object-43924423-westrak-1/"/>
    <hyperlink ref="I19" r:id="rId14" display="https://www.fundainbusiness.nl/bedrijfshal/heerhugowaard/object-44449656-nijverheidsstraat-13-l/"/>
    <hyperlink ref="I20" r:id="rId15" display="https://www.fundainbusiness.nl/bedrijfshal/heerhugowaard/object-44588192-pascalstraat-8/"/>
    <hyperlink ref="I21" r:id="rId16" display="https://www.fundainbusiness.nl/bedrijfshal/purmerend/object-80969678-einsteinstraat-74/"/>
    <hyperlink ref="I22" r:id="rId17" display="https://www.fundainbusiness.nl/bedrijfshal/purmerend/object-43377448-hertzstraat-2/"/>
    <hyperlink ref="I23" r:id="rId18" display="https://www.fundainbusiness.nl/bedrijfshal/heerhugowaard/object-44431378-nijverheidsstraat-13-j/"/>
    <hyperlink ref="I24" r:id="rId19" display="https://www.fundainbusiness.nl/bedrijfshal/alkmaar/object-44445544-barnsteenstraat-1-f/"/>
    <hyperlink ref="I25" r:id="rId20" display="https://www.fundainbusiness.nl/bedrijfshal/purmerend/object-43571449-volume-128-130/"/>
    <hyperlink ref="I26" r:id="rId21" display="https://www.fundainbusiness.nl/bedrijfshal/alkmaar/object-89536024-robbenkoog-21-b/"/>
    <hyperlink ref="I27" r:id="rId22" display="https://www.fundainbusiness.nl/bedrijfshal/alkmaar/object-43873700-herculesstraat-57/"/>
    <hyperlink ref="I28" r:id="rId23" display="https://www.fundainbusiness.nl/bedrijfshal/zwaag/object-80999815-john-kenneth-galbraithweg-3/"/>
    <hyperlink ref="I29" r:id="rId24" display="https://www.fundainbusiness.nl/bedrijfshal/alkmaar/object-44417065-schermerweg-31/"/>
    <hyperlink ref="I30" r:id="rId25" display="https://www.fundainbusiness.nl/bedrijfshal/heerhugowaard/object-43353973-rustenburgerweg-114/"/>
    <hyperlink ref="I31" r:id="rId26" display="https://www.fundainbusiness.nl/bedrijfshal/alkmaar/object-43802915-herculesstraat-57/"/>
    <hyperlink ref="I32" r:id="rId27" display="https://www.fundainbusiness.nl/bedrijfshal/purmerend/object-44567828-visserijweg-26-a/"/>
    <hyperlink ref="I33" r:id="rId28" display="https://www.fundainbusiness.nl/bedrijfshal/alkmaar/object-43387323-laanenderweg-30-31/"/>
    <hyperlink ref="I34" r:id="rId29" display="https://www.fundainbusiness.nl/bedrijfshal/heerhugowaard/object-44573735-wm-dudokweg-11/"/>
    <hyperlink ref="I35" r:id="rId30" display="https://www.fundainbusiness.nl/bedrijfshal/alkmaar/object-43802000-herculesstraat-57/"/>
    <hyperlink ref="I39" r:id="rId31" display="https://www.fundainbusiness.nl/bedrijfshal/alkmaar/object-43318885-koraalstraat-1/"/>
    <hyperlink ref="I40" r:id="rId32" display="https://www.fundainbusiness.nl/bedrijfshal/alkmaar/object-43203349-fluorietweg-29/"/>
    <hyperlink ref="I41" r:id="rId33" display="https://www.fundainbusiness.nl/bedrijfshal/hoorn-nh/object-43246991-electronplein-1/"/>
    <hyperlink ref="I42" r:id="rId34" display="https://www.fundainbusiness.nl/bedrijfshal/wieringerwerf/object-42189263-westrak-208/"/>
    <hyperlink ref="I43" r:id="rId35" display="https://www.fundainbusiness.nl/bedrijfshal/wieringerwerf/object-44528013-westrak-208/"/>
    <hyperlink ref="I44" r:id="rId36" display="https://www.fundainbusiness.nl/bedrijfshal/zwaag/object-44560899-de-factorij-40/"/>
    <hyperlink ref="I45" r:id="rId37" display="https://www.fundainbusiness.nl/bedrijfshal/zwaag/object-44589122-jelle-zijlstraweg-69/"/>
    <hyperlink ref="I46" r:id="rId38" display="https://www.fundainbusiness.nl/bedrijfshal/wieringerwerf/object-44528014-westrak-208/"/>
    <hyperlink ref="I47" r:id="rId39" display="https://www.fundainbusiness.nl/bedrijfshal/alkmaar/object-43714147-hazenkoog-2/"/>
    <hyperlink ref="I48" r:id="rId40" display="https://www.fundainbusiness.nl/bedrijfshal/purmerend/object-43316575-visserijweg-67/"/>
    <hyperlink ref="I49" r:id="rId41" display="https://www.fundainbusiness.nl/bedrijfshal/purmerend/object-44558293-boomkorstraat-4/"/>
    <hyperlink ref="I50" r:id="rId42" display="https://www.fundainbusiness.nl/bedrijfshal/heerhugowaard/object-44522402-newtonstraat-44/"/>
    <hyperlink ref="I51" r:id="rId43" display="https://www.fundainbusiness.nl/bedrijfshal/heerhugowaard/object-44468762-nijverheidsstraat-13/"/>
    <hyperlink ref="I52" r:id="rId44" display="https://www.fundainbusiness.nl/bedrijfshal/alkmaar/object-43810741-herculesstraat-57/"/>
    <hyperlink ref="I53" r:id="rId45" display="https://www.fundainbusiness.nl/bedrijfshal/heerhugowaard/object-44586253-amperestraat-46/"/>
    <hyperlink ref="I54" r:id="rId46" display="https://www.fundainbusiness.nl/bedrijfshal/heerhugowaard/object-44458904-newtonstraat-44/"/>
    <hyperlink ref="I55" r:id="rId47" display="https://www.fundainbusiness.nl/bedrijfshal/heerhugowaard/object-44573588-wm-dudokweg-11/"/>
    <hyperlink ref="I56" r:id="rId48" display="https://www.fundainbusiness.nl/bedrijfshal/medemblik/object-44404684-nijverheidsweg-3-a/"/>
    <hyperlink ref="I57" r:id="rId49" display="https://www.fundainbusiness.nl/bedrijfshal/purmerend/object-44559728-binnenzeestraat-32/"/>
    <hyperlink ref="I58" r:id="rId50" display="https://www.fundainbusiness.nl/bedrijfshal/zwaag/object-80806129-de-corantijn-15-a/"/>
    <hyperlink ref="I59" r:id="rId51" display="https://www.fundainbusiness.nl/bedrijfshal/purmerend/object-44570556-van-ijsendijkstraat-180-j/"/>
    <hyperlink ref="I60" r:id="rId52" display="https://www.fundainbusiness.nl/bedrijfshal/purmerend/object-89563629-fuikstraat-4/"/>
    <hyperlink ref="I61" r:id="rId53" display="https://www.fundainbusiness.nl/bedrijfshal/wieringerwerf/object-43357380-terpstraat-39-a/"/>
    <hyperlink ref="I62" r:id="rId54" display="https://www.fundainbusiness.nl/bedrijfshal/zwaag/object-43384015-jelle-zijlstraweg-62-g/"/>
    <hyperlink ref="I63" r:id="rId55" display="https://www.fundainbusiness.nl/bedrijfshal/alkmaar/object-44545079-otterkoog-105/"/>
    <hyperlink ref="I64" r:id="rId56" display="https://www.fundainbusiness.nl/bedrijfshal/enkhuizen/object-43318323-het-witte-hert-4-a/"/>
    <hyperlink ref="I65" r:id="rId57" display="https://www.fundainbusiness.nl/bedrijfshal/zwaag/object-80919475-de-marowijne-11/"/>
    <hyperlink ref="I66" r:id="rId58" display="https://www.fundainbusiness.nl/bedrijfshal/zwaag/object-80914900-jelle-zijlstraweg-144/"/>
    <hyperlink ref="I67" r:id="rId59" display="https://www.fundainbusiness.nl/bedrijfshal/enkhuizen/object-43135139-de-zwaan-2/"/>
    <hyperlink ref="I68" r:id="rId60" display="https://www.fundainbusiness.nl/bedrijfshal/zwaag/object-80932271-de-corantijn-53-a/"/>
    <hyperlink ref="I69" r:id="rId61" display="https://www.fundainbusiness.nl/bedrijfshal/hoorn-nh/object-89737562-breed-41/"/>
    <hyperlink ref="I70" r:id="rId62" display="https://www.fundainbusiness.nl/bedrijfshal/purmerend/object-43292862-binnenzeestraat-25/"/>
    <hyperlink ref="I71" r:id="rId63" display="https://www.fundainbusiness.nl/bedrijfshal/heerhugowaard/object-44575365-wm-dudokweg-10/"/>
    <hyperlink ref="I72" r:id="rId64" display="https://www.fundainbusiness.nl/bedrijfshal/zwaag/object-89281452-jelle-zijlstraweg-60-d/"/>
    <hyperlink ref="I73" r:id="rId65" display="https://www.fundainbusiness.nl/bedrijfshal/zwaag/object-44446876-de-oude-veiling-25-h/"/>
    <hyperlink ref="I77" r:id="rId66" display="https://www.fundainbusiness.nl/belegging/alkmaar/object-44581679-boterstraat-21/"/>
    <hyperlink ref="I78" r:id="rId67" display="https://www.fundainbusiness.nl/belegging/hoorn-nh/object-43363688-atoomweg-12/"/>
    <hyperlink ref="I79" r:id="rId68" display="https://www.fundainbusiness.nl/belegging/alkmaar/object-43201526-kamerlingh-onnesstraat-27-b/"/>
    <hyperlink ref="I80" r:id="rId69" display="https://www.fundainbusiness.nl/belegging/hoorn-nh/object-43660627-neutronweg-3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431</v>
      </c>
    </row>
    <row r="4" customFormat="false" ht="28.35" hidden="false" customHeight="false" outlineLevel="0" collapsed="false">
      <c r="A4" s="6" t="s">
        <v>416</v>
      </c>
      <c r="B4" s="37" t="s">
        <v>432</v>
      </c>
    </row>
    <row r="5" customFormat="false" ht="15" hidden="false" customHeight="false" outlineLevel="0" collapsed="false">
      <c r="A5" s="6" t="s">
        <v>433</v>
      </c>
      <c r="B5" s="37" t="s">
        <v>434</v>
      </c>
    </row>
    <row r="6" customFormat="false" ht="28.35" hidden="false" customHeight="false" outlineLevel="0" collapsed="false">
      <c r="A6" s="6" t="s">
        <v>435</v>
      </c>
      <c r="B6" s="37" t="s">
        <v>436</v>
      </c>
    </row>
    <row r="7" customFormat="false" ht="15" hidden="false" customHeight="false" outlineLevel="0" collapsed="false">
      <c r="A7" s="6" t="s">
        <v>125</v>
      </c>
      <c r="B7" s="37" t="s">
        <v>437</v>
      </c>
    </row>
    <row r="8" customFormat="false" ht="15" hidden="false" customHeight="false" outlineLevel="0" collapsed="false">
      <c r="A8" s="6" t="s">
        <v>98</v>
      </c>
      <c r="B8" s="37" t="s">
        <v>438</v>
      </c>
    </row>
    <row r="9" customFormat="false" ht="28.35" hidden="false" customHeight="false" outlineLevel="0" collapsed="false">
      <c r="A9" s="6" t="s">
        <v>439</v>
      </c>
      <c r="B9" s="37" t="s">
        <v>440</v>
      </c>
    </row>
    <row r="10" customFormat="false" ht="15" hidden="false" customHeight="false" outlineLevel="0" collapsed="false">
      <c r="A10" s="6" t="s">
        <v>439</v>
      </c>
      <c r="B10" s="37" t="s">
        <v>441</v>
      </c>
    </row>
    <row r="11" customFormat="false" ht="28.35" hidden="false" customHeight="false" outlineLevel="0" collapsed="false">
      <c r="A11" s="6" t="s">
        <v>439</v>
      </c>
      <c r="B11" s="37" t="s">
        <v>442</v>
      </c>
    </row>
    <row r="12" customFormat="false" ht="28.35" hidden="false" customHeight="false" outlineLevel="0" collapsed="false">
      <c r="A12" s="6" t="s">
        <v>443</v>
      </c>
      <c r="B12" s="37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2026-10-16T09:33:40Z</dcterms:created>
  <dc:creator>openpyxl</dc:creator>
  <dc:description/>
  <dc:language>en-US</dc:language>
  <cp:lastModifiedBy/>
  <dcterms:modified xsi:type="dcterms:W3CDTF">2026-10-16T09:33:40Z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