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Денежный поток" sheetId="3" state="visible" r:id="rId3"/>
    <sheet xmlns:r="http://schemas.openxmlformats.org/officeDocument/2006/relationships" name="Аренда" sheetId="4" state="visible" r:id="rId4"/>
    <sheet xmlns:r="http://schemas.openxmlformats.org/officeDocument/2006/relationships" name="Сценарии" sheetId="5" state="visible" r:id="rId5"/>
    <sheet xmlns:r="http://schemas.openxmlformats.org/officeDocument/2006/relationships" name="Чувствительность" sheetId="6" state="visible" r:id="rId6"/>
    <sheet xmlns:r="http://schemas.openxmlformats.org/officeDocument/2006/relationships" name="План Б" sheetId="7" state="visible" r:id="rId7"/>
    <sheet xmlns:r="http://schemas.openxmlformats.org/officeDocument/2006/relationships" name="Конкуренты" sheetId="8" state="visible" r:id="rId8"/>
    <sheet xmlns:r="http://schemas.openxmlformats.org/officeDocument/2006/relationships" name="Источники" sheetId="9" state="visible" r:id="rId9"/>
  </sheets>
  <definedNames>
    <definedName name="ask">'Допущения'!$B$5</definedName>
    <definedName name="buy_price">'Допущения'!$B$6</definedName>
    <definedName name="area_m2">'Допущения'!$B$7</definedName>
    <definedName name="vat_route">'Допущения'!$B$8</definedName>
    <definedName name="ovb">'Допущения'!$B$9</definedName>
    <definedName name="vat_rate">'Допущения'!$B$10</definedName>
    <definedName name="vat_refund_month">'Допущения'!$B$11</definedName>
    <definedName name="notary">'Допущения'!$B$12</definedName>
    <definedName name="dd">'Допущения'!$B$13</definedName>
    <definedName name="valuation">'Допущения'!$B$14</definedName>
    <definedName name="advisory">'Допущения'!$B$15</definedName>
    <definedName name="capex_m2">'Допущения'!$B$17</definedName>
    <definedName name="capex_fixed">'Допущения'!$B$18</definedName>
    <definedName name="capex_vat">'Допущения'!$B$19</definedName>
    <definedName name="capex_months">'Допущения'!$B$20</definedName>
    <definedName name="letting_fee">'Допущения'!$B$22</definedName>
    <definedName name="marketing">'Допущения'!$B$23</definedName>
    <definedName name="holding_pct">'Допущения'!$B$25</definedName>
    <definedName name="hold_fixed">'Допущения'!$B$26</definedName>
    <definedName name="void_m2">'Допущения'!$B$27</definedName>
    <definedName name="ltv">'Допущения'!$B$29</definedName>
    <definedName name="loan_rate">'Допущения'!$B$30</definedName>
    <definedName name="bank_fee">'Допущения'!$B$31</definedName>
    <definedName name="sale_fee">'Допущения'!$B$33</definedName>
    <definedName name="sale_fixed">'Допущения'!$B$34</definedName>
    <definedName name="vat_window">'Допущения'!$B$35</definedName>
    <definedName name="late_ovb">'Допущения'!$B$36</definedName>
    <definedName name="art13_share">'Допущения'!$B$37</definedName>
    <definedName name="vpb_low">'Допущения'!$B$39</definedName>
    <definedName name="vpb_high">'Допущения'!$B$40</definedName>
    <definedName name="vpb_step">'Допущения'!$B$41</definedName>
    <definedName name="rent_mult">'Допущения'!$B$45</definedName>
    <definedName name="exit_bar">'Допущения'!$B$46</definedName>
    <definedName name="lease_month">'Допущения'!$B$47</definedName>
    <definedName name="rent_free">'Допущения'!$B$48</definedName>
    <definedName name="sale_month">'Допущения'!$B$49</definedName>
    <definedName name="scenario">'Допущения'!$B$50</definedName>
    <definedName name="rent_base">'Аренда'!$D$7</definedName>
    <definedName name="rent_eff">'Аренда'!$D$9</definedName>
    <definedName name="acq_price">'Сводка'!$B$5</definedName>
    <definedName name="acq_total">'Сводка'!$B$12</definedName>
    <definedName name="vat_paid">'Сводка'!$B$13</definedName>
    <definedName name="loan">'Сводка'!$B$14</definedName>
    <definedName name="capex_total">'Сводка'!$B$15</definedName>
    <definedName name="first_paid">'Сводка'!$B$18</definedName>
    <definedName name="late">'Сводка'!$B$19</definedName>
    <definedName name="value_let">'Сводка'!$B$20</definedName>
    <definedName name="free_left">'Сводка'!$B$21</definedName>
    <definedName name="uplift">'Сводка'!$B$22</definedName>
    <definedName name="sale_price">'Сводка'!$B$23</definedName>
    <definedName name="sale_cost">'Сводка'!$B$24</definedName>
    <definedName name="income">'Сводка'!$B$26</definedName>
    <definedName name="cost_total">'Сводка'!$B$27</definedName>
    <definedName name="profit">'Сводка'!$B$28</definedName>
    <definedName name="vpb">'Сводка'!$B$30</definedName>
    <definedName name="equity">'Сводка'!$B$32</definedName>
    <definedName name="buyer_ovb">'Сводка'!$B$38</definedName>
    <definedName name="buyer_total">'Сводка'!$B$39</definedName>
    <definedName name="hold_opex">'План Б'!$B$5</definedName>
    <definedName name="hold_noi">'План Б'!$B$6</definedName>
    <definedName name="hold_invested">'План Б'!$B$7</definedName>
    <definedName name="vac_carry">'План Б'!$B$10</definedName>
    <definedName name="vac_cost">'План Б'!$B$11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€&quot; #,##0;[Red]-&quot;€&quot; #,##0"/>
    <numFmt numFmtId="165" formatCode="0.0%"/>
    <numFmt numFmtId="166" formatCode="&quot;€&quot; #,##0.00"/>
    <numFmt numFmtId="167" formatCode="#,##0.0"/>
    <numFmt numFmtId="168" formatCode="+0.0%;-0.0%"/>
    <numFmt numFmtId="169" formatCode="+0%;-0%;0%"/>
  </numFmts>
  <fonts count="9">
    <font>
      <name val="Calibri"/>
      <family val="2"/>
      <color theme="1"/>
      <sz val="11"/>
      <scheme val="minor"/>
    </font>
    <font>
      <name val="Calibri"/>
      <b val="1"/>
      <color rgb="0016233A"/>
      <sz val="14"/>
    </font>
    <font>
      <name val="Calibri"/>
      <i val="1"/>
      <color rgb="005D6B7C"/>
      <sz val="9"/>
    </font>
    <font>
      <b val="1"/>
      <color rgb="009C7C38"/>
      <sz val="10"/>
    </font>
    <font>
      <name val="Calibri"/>
      <sz val="10"/>
    </font>
    <font>
      <name val="Calibri"/>
      <color rgb="001F4FB4"/>
      <sz val="10"/>
    </font>
    <font>
      <name val="Calibri"/>
      <b val="1"/>
      <color rgb="00FFFFFF"/>
      <sz val="10"/>
    </font>
    <font>
      <name val="Calibri"/>
      <b val="1"/>
      <sz val="10"/>
    </font>
    <font>
      <b val="1"/>
      <color rgb="009C7C38"/>
      <sz val="11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16233A"/>
      </patternFill>
    </fill>
    <fill>
      <patternFill patternType="solid">
        <fgColor rgb="00EC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7" fillId="4" borderId="0" pivotButton="0" quotePrefix="0" xfId="0"/>
    <xf numFmtId="10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3" fontId="5" fillId="2" borderId="0" pivotButton="0" quotePrefix="0" xfId="0"/>
    <xf numFmtId="165" fontId="5" fillId="2" borderId="0" pivotButton="0" quotePrefix="0" xfId="0"/>
    <xf numFmtId="10" fontId="5" fillId="2" borderId="0" pivotButton="0" quotePrefix="0" xfId="0"/>
    <xf numFmtId="166" fontId="5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2" fontId="7" fillId="0" borderId="0" pivotButton="0" quotePrefix="0" xfId="0"/>
    <xf numFmtId="2" fontId="5" fillId="2" borderId="0" pivotButton="0" quotePrefix="0" xfId="0"/>
    <xf numFmtId="10" fontId="7" fillId="0" borderId="0" pivotButton="0" quotePrefix="0" xfId="0"/>
    <xf numFmtId="3" fontId="7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164" fontId="7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4" fontId="0" fillId="4" borderId="0" pivotButton="0" quotePrefix="0" xfId="0"/>
    <xf numFmtId="169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0" fontId="7" fillId="4" borderId="0" pivotButton="0" quotePrefix="0" xfId="0"/>
    <xf numFmtId="169" fontId="7" fillId="4" borderId="0" pivotButton="0" quotePrefix="0" xfId="0"/>
    <xf numFmtId="3" fontId="6" fillId="3" borderId="0" applyAlignment="1" pivotButton="0" quotePrefix="0" xfId="0">
      <alignment horizontal="center" vertical="center" wrapText="1"/>
    </xf>
    <xf numFmtId="10" fontId="6" fillId="3" borderId="0" applyAlignment="1" pivotButton="0" quotePrefix="0" xfId="0">
      <alignment horizontal="center" vertical="center" wrapText="1"/>
    </xf>
    <xf numFmtId="9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4" customWidth="1" min="3" max="3"/>
  </cols>
  <sheetData>
    <row r="1">
      <c r="A1" s="1" t="inlineStr">
        <is>
          <t>Флип-модель: Boeingavenue 307-N, Схипхол-Рейк — сводка</t>
        </is>
      </c>
    </row>
    <row r="2">
      <c r="A2" s="2" t="inlineStr">
        <is>
          <t>Купить новый юнит за свои средства → отделать → сдать → продать сданным инвестору до конца 6 месяцев после начала аренды. Все цифры — формулы от листов «Допущения» и «Аренда».</t>
        </is>
      </c>
    </row>
    <row r="4">
      <c r="A4" s="3" t="inlineStr">
        <is>
          <t>Покупка</t>
        </is>
      </c>
    </row>
    <row r="5">
      <c r="A5" s="4" t="inlineStr">
        <is>
          <t>Цена покупки</t>
        </is>
      </c>
      <c r="B5" s="5">
        <f>buy_price</f>
        <v/>
      </c>
    </row>
    <row r="6">
      <c r="A6" s="4" t="inlineStr">
        <is>
          <t>Налог на передачу</t>
        </is>
      </c>
      <c r="B6" s="5">
        <f>buy_price*ovb</f>
        <v/>
      </c>
    </row>
    <row r="7">
      <c r="A7" s="4" t="inlineStr">
        <is>
          <t>Нотариус и кадастр</t>
        </is>
      </c>
      <c r="B7" s="5">
        <f>notary</f>
        <v/>
      </c>
    </row>
    <row r="8">
      <c r="A8" s="4" t="inlineStr">
        <is>
          <t>Проверка объекта</t>
        </is>
      </c>
      <c r="B8" s="5">
        <f>dd</f>
        <v/>
      </c>
    </row>
    <row r="9">
      <c r="A9" s="4" t="inlineStr">
        <is>
          <t>Оценка для банка</t>
        </is>
      </c>
      <c r="B9" s="5">
        <f>IF(ltv&gt;0,valuation,0)</f>
        <v/>
      </c>
    </row>
    <row r="10">
      <c r="A10" s="4" t="inlineStr">
        <is>
          <t>Консультант по покупке</t>
        </is>
      </c>
      <c r="B10" s="5">
        <f>buy_price*advisory</f>
        <v/>
      </c>
    </row>
    <row r="11">
      <c r="A11" s="4" t="inlineStr">
        <is>
          <t>Комиссия банка</t>
        </is>
      </c>
      <c r="B11" s="5">
        <f>loan*bank_fee</f>
        <v/>
      </c>
    </row>
    <row r="12">
      <c r="A12" s="6" t="inlineStr">
        <is>
          <t>Итого на покупку</t>
        </is>
      </c>
      <c r="B12" s="7">
        <f>SUM(B5:B11)</f>
        <v/>
      </c>
    </row>
    <row r="13">
      <c r="A13" s="4" t="inlineStr">
        <is>
          <t>НДС с цены: платим у нотариуса и возвращаем</t>
        </is>
      </c>
      <c r="B13" s="5">
        <f>IF(vat_route=1,buy_price*vat_rate,0)</f>
        <v/>
      </c>
      <c r="C13" s="2" t="inlineStr">
        <is>
          <t>в затраты не входит, но занимает деньги до возврата</t>
        </is>
      </c>
    </row>
    <row r="14">
      <c r="A14" s="4" t="inlineStr">
        <is>
          <t>Кредит</t>
        </is>
      </c>
      <c r="B14" s="5">
        <f>buy_price*ltv</f>
        <v/>
      </c>
    </row>
    <row r="15">
      <c r="A15" s="4" t="inlineStr">
        <is>
          <t>Отделка</t>
        </is>
      </c>
      <c r="B15" s="5">
        <f>(capex_m2*area_m2+capex_fixed)*(1+capex_vat)</f>
        <v/>
      </c>
    </row>
    <row r="16">
      <c r="A16" s="3" t="inlineStr">
        <is>
          <t>Продажа</t>
        </is>
      </c>
    </row>
    <row r="17">
      <c r="A17" s="4" t="inlineStr">
        <is>
          <t>Аренда в год (сценарий)</t>
        </is>
      </c>
      <c r="B17" s="5">
        <f>rent_eff</f>
        <v/>
      </c>
    </row>
    <row r="18">
      <c r="A18" s="4" t="inlineStr">
        <is>
          <t>Первый оплачиваемый месяц</t>
        </is>
      </c>
      <c r="B18" s="8">
        <f>lease_month+rent_free</f>
        <v/>
      </c>
    </row>
    <row r="19">
      <c r="A19" s="4" t="inlineStr">
        <is>
          <t>Продажа позже срока без налога 10,4 % (1 — да)</t>
        </is>
      </c>
      <c r="B19" s="8">
        <f>IF(AND(vat_route=1,sale_month&gt;lease_month-1+vat_window),1,0)</f>
        <v/>
      </c>
      <c r="C19" s="2" t="inlineStr">
        <is>
          <t>акт у нотариуса позже 6 месяцев после начала аренды: инвестор платит налог и снижает цену</t>
        </is>
      </c>
    </row>
    <row r="20">
      <c r="A20" s="4" t="inlineStr">
        <is>
          <t>Стоимость сданного помещения: аренда / доходность для инвестора</t>
        </is>
      </c>
      <c r="B20" s="5">
        <f>rent_eff/exit_bar/IF(late=1,1+late_ovb,1)</f>
        <v/>
      </c>
    </row>
    <row r="21">
      <c r="A21" s="4" t="inlineStr">
        <is>
          <t>Минус не закончившиеся месяцы без платы</t>
        </is>
      </c>
      <c r="B21" s="5">
        <f>MAX(0,first_paid-1-sale_month)*rent_eff/12</f>
        <v/>
      </c>
    </row>
    <row r="22">
      <c r="A22" s="4" t="inlineStr">
        <is>
          <t>Плюс доля экономии покупателя по ст. 13</t>
        </is>
      </c>
      <c r="B22" s="5">
        <f>IF(AND(vat_route=0,sale_month&lt;=6),art13_share*ovb*buy_price/(1+ovb),0)</f>
        <v/>
      </c>
    </row>
    <row r="23">
      <c r="A23" s="6" t="inlineStr">
        <is>
          <t>Цена продажи</t>
        </is>
      </c>
      <c r="B23" s="7">
        <f>value_let-free_left+uplift</f>
        <v/>
      </c>
      <c r="C23" s="2" t="inlineStr">
        <is>
          <t>продажа сданного помещения инвестору с НДС, который он возвращает</t>
        </is>
      </c>
    </row>
    <row r="24">
      <c r="A24" s="4" t="inlineStr">
        <is>
          <t>Расходы на продажу</t>
        </is>
      </c>
      <c r="B24" s="5">
        <f>sale_price*sale_fee+sale_fixed</f>
        <v/>
      </c>
    </row>
    <row r="25">
      <c r="A25" s="3" t="inlineStr">
        <is>
          <t>Результат</t>
        </is>
      </c>
    </row>
    <row r="26">
      <c r="A26" s="4" t="inlineStr">
        <is>
          <t>Доходы: аренда за период и продажа</t>
        </is>
      </c>
      <c r="B26" s="5">
        <f>SUM('Денежный поток'!B11:Z11)+SUM('Денежный поток'!B14:Z14)</f>
        <v/>
      </c>
    </row>
    <row r="27">
      <c r="A27" s="4" t="inlineStr">
        <is>
          <t>Все затраты (НДС возвращается и не входит)</t>
        </is>
      </c>
      <c r="B27" s="5">
        <f>-(SUM('Денежный поток'!B5:Z5)+SUM('Денежный поток'!B7:Z10)+SUM('Денежный поток'!B12:Z12)+SUM('Денежный поток'!B15:Z15))</f>
        <v/>
      </c>
    </row>
    <row r="28">
      <c r="A28" s="6" t="inlineStr">
        <is>
          <t>Прибыль до налога</t>
        </is>
      </c>
      <c r="B28" s="7">
        <f>SUM('Денежный поток'!B16:Z16)</f>
        <v/>
      </c>
    </row>
    <row r="29">
      <c r="A29" s="4" t="inlineStr">
        <is>
          <t>Заработок на каждые € 100 затрат</t>
        </is>
      </c>
      <c r="B29" s="9">
        <f>profit/cost_total*100</f>
        <v/>
      </c>
      <c r="C29" s="2" t="inlineStr">
        <is>
          <t>прибыль до налога, делённая на все затраты</t>
        </is>
      </c>
    </row>
    <row r="30">
      <c r="A30" s="4" t="inlineStr">
        <is>
          <t>Налог на прибыль VPB</t>
        </is>
      </c>
      <c r="B30" s="5">
        <f>IF(profit&lt;=0,0,MIN(profit,vpb_step)*vpb_low+MAX(0,profit-vpb_step)*vpb_high)</f>
        <v/>
      </c>
    </row>
    <row r="31">
      <c r="A31" s="6" t="inlineStr">
        <is>
          <t>Прибыль после налога</t>
        </is>
      </c>
      <c r="B31" s="7">
        <f>profit-vpb</f>
        <v/>
      </c>
    </row>
    <row r="32">
      <c r="A32" s="6" t="inlineStr">
        <is>
          <t>Вложено своих денег на пике</t>
        </is>
      </c>
      <c r="B32" s="7">
        <f>-MIN('Денежный поток'!B17:Z17)</f>
        <v/>
      </c>
      <c r="C32" s="2" t="inlineStr">
        <is>
          <t>сколько денег занято в проекте в самый затратный момент, включая НДС до возврата</t>
        </is>
      </c>
    </row>
    <row r="33">
      <c r="A33" s="4" t="inlineStr">
        <is>
          <t>Прибыль на свои деньги после налога</t>
        </is>
      </c>
      <c r="B33" s="10">
        <f>(profit-vpb)/equity</f>
        <v/>
      </c>
    </row>
    <row r="34">
      <c r="A34" s="4" t="inlineStr">
        <is>
          <t>В пересчёте на год (IRR), до налога</t>
        </is>
      </c>
      <c r="B34" s="10">
        <f>(1+IRR('Денежный поток'!B16:Z16,0.01))^12-1</f>
        <v/>
      </c>
      <c r="C34" s="2" t="inlineStr">
        <is>
          <t>учитывает, сколько месяцев деньги заняты в проекте</t>
        </is>
      </c>
    </row>
    <row r="35">
      <c r="A35" s="6" t="inlineStr">
        <is>
          <t>В пересчёте на год (IRR), после налога</t>
        </is>
      </c>
      <c r="B35" s="11">
        <f>(1+IRR('Денежный поток'!B19:Z19,0.01))^12-1</f>
        <v/>
      </c>
    </row>
    <row r="36">
      <c r="A36" s="4" t="inlineStr">
        <is>
          <t>Сколько вернётся на € 1 своих денег, после налога</t>
        </is>
      </c>
      <c r="B36" s="9">
        <f>(equity+profit-vpb)/equity</f>
        <v/>
      </c>
    </row>
    <row r="37">
      <c r="A37" s="3" t="inlineStr">
        <is>
          <t>Глазами инвестора</t>
        </is>
      </c>
    </row>
    <row r="38">
      <c r="A38" s="4" t="inlineStr">
        <is>
          <t>Налог на передачу, который платит инвестор</t>
        </is>
      </c>
      <c r="B38" s="5">
        <f>IF(vat_route=1,IF(late=1,late_ovb*sale_price,0),IF(sale_month&lt;=6,ovb*(sale_price-buy_price),ovb*sale_price))</f>
        <v/>
      </c>
    </row>
    <row r="39">
      <c r="A39" s="4" t="inlineStr">
        <is>
          <t>Его полная цена</t>
        </is>
      </c>
      <c r="B39" s="5">
        <f>sale_price+buyer_ovb</f>
        <v/>
      </c>
    </row>
    <row r="40">
      <c r="A40" s="4" t="inlineStr">
        <is>
          <t>Его доходность на все расходы</t>
        </is>
      </c>
      <c r="B40" s="12">
        <f>rent_eff/buyer_total</f>
        <v/>
      </c>
    </row>
    <row r="42">
      <c r="A42" s="3" t="inlineStr">
        <is>
          <t>Потолок цены покупки (подбор моделью, базовые допущения)</t>
        </is>
      </c>
    </row>
    <row r="43">
      <c r="A43" t="inlineStr">
        <is>
          <t>Прибыль 0 — дороже не покупать, продажа на 7-м месяце</t>
        </is>
      </c>
      <c r="B43" s="5" t="n">
        <v>341326</v>
      </c>
      <c r="C43" s="13">
        <f>B43/ask-1</f>
        <v/>
      </c>
    </row>
    <row r="44">
      <c r="A44" t="inlineStr">
        <is>
          <t>€ 10 на каждые € 100 затрат, продажа на 7-м месяце</t>
        </is>
      </c>
      <c r="B44" s="5" t="n">
        <v>304860</v>
      </c>
      <c r="C44" s="13">
        <f>B44/ask-1</f>
        <v/>
      </c>
    </row>
    <row r="45">
      <c r="A45" t="inlineStr">
        <is>
          <t>€ 15 на каждые € 100 затрат, продажа на 7-м месяце</t>
        </is>
      </c>
      <c r="B45" s="5" t="n">
        <v>289005</v>
      </c>
      <c r="C45" s="13">
        <f>B45/ask-1</f>
        <v/>
      </c>
    </row>
    <row r="46">
      <c r="A46" t="inlineStr">
        <is>
          <t>Прибыль 0, на 12-м месяце, инвестор платит 10,4 %</t>
        </is>
      </c>
      <c r="B46" s="5" t="n">
        <v>315388</v>
      </c>
      <c r="C46" s="13">
        <f>B46/ask-1</f>
        <v/>
      </c>
    </row>
    <row r="47">
      <c r="A47" t="inlineStr">
        <is>
          <t>€ 10 на каждые € 100 затрат, на 12-м месяце, инвестор платит 10,4 %</t>
        </is>
      </c>
      <c r="B47" s="5" t="n">
        <v>281297</v>
      </c>
      <c r="C47" s="13">
        <f>B47/ask-1</f>
        <v/>
      </c>
    </row>
    <row r="48">
      <c r="A48" t="inlineStr">
        <is>
          <t>Доходность для инвестора, при которой прибыль = 0</t>
        </is>
      </c>
      <c r="B48" s="12" t="n">
        <v>0.08111605975383629</v>
      </c>
    </row>
    <row r="49">
      <c r="A49" t="inlineStr">
        <is>
          <t>Аренда, при которой прибыль = 0, € за м² в год</t>
        </is>
      </c>
      <c r="B49" s="9" t="n">
        <v>134.1832856520914</v>
      </c>
    </row>
    <row r="50">
      <c r="A50" s="2" t="inlineStr">
        <is>
          <t>Значения подобраны Python-моделью; в Excel их можно перепроверить подбором параметра.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70" customWidth="1" min="8" max="8"/>
  </cols>
  <sheetData>
    <row r="1">
      <c r="A1" s="1" t="inlineStr">
        <is>
          <t>Флип-модель: Boeingavenue 307-N, Схипхол-Рейк — допущения</t>
        </is>
      </c>
    </row>
    <row r="2">
      <c r="A2" s="2" t="inlineStr">
        <is>
          <t>Синие значения на жёлтом фоне можно менять: все листы пересчитаются. Суммы без НДС, евро.</t>
        </is>
      </c>
    </row>
    <row r="4">
      <c r="A4" s="14" t="inlineStr">
        <is>
          <t>Покупка</t>
        </is>
      </c>
    </row>
    <row r="5">
      <c r="A5" s="4" t="inlineStr">
        <is>
          <t>Цена продавца (vrij op naam, без НДС)</t>
        </is>
      </c>
      <c r="B5" s="15" t="n">
        <v>360000</v>
      </c>
      <c r="H5" s="2" t="inlineStr">
        <is>
          <t>funda in business, 20.10.2026</t>
        </is>
      </c>
    </row>
    <row r="6">
      <c r="A6" s="4" t="inlineStr">
        <is>
          <t>Цена покупки — наше предложение</t>
        </is>
      </c>
      <c r="B6" s="15" t="n">
        <v>300000</v>
      </c>
      <c r="H6" s="2" t="inlineStr">
        <is>
          <t>17 % ниже цены продавца; потолок без убытка — на листе «Сводка»</t>
        </is>
      </c>
    </row>
    <row r="7">
      <c r="A7" s="4" t="inlineStr">
        <is>
          <t>Площадь, м²</t>
        </is>
      </c>
      <c r="B7" s="16" t="n">
        <v>193</v>
      </c>
      <c r="H7" s="2" t="inlineStr">
        <is>
          <t>193 м² на двух этажах по 96,5 м²</t>
        </is>
      </c>
    </row>
    <row r="8">
      <c r="A8" s="4" t="inlineStr">
        <is>
          <t>Схема с НДС: 1 — новое помещение, 0 — обычная покупка</t>
        </is>
      </c>
      <c r="B8" s="16" t="n">
        <v>1</v>
      </c>
      <c r="H8" s="2" t="inlineStr">
        <is>
          <t>ст. 15 WBR: новое здание продаётся с НДС и без налога на передачу</t>
        </is>
      </c>
    </row>
    <row r="9">
      <c r="A9" s="4" t="inlineStr">
        <is>
          <t>Налог на передачу при нашей покупке</t>
        </is>
      </c>
      <c r="B9" s="17" t="n">
        <v>0</v>
      </c>
      <c r="H9" s="2" t="inlineStr">
        <is>
          <t>0 % — схема с НДС</t>
        </is>
      </c>
    </row>
    <row r="10">
      <c r="A10" s="4" t="inlineStr">
        <is>
          <t>НДС с цены покупки</t>
        </is>
      </c>
      <c r="B10" s="17" t="n">
        <v>0.21</v>
      </c>
      <c r="H10" s="2" t="inlineStr">
        <is>
          <t>платим у нотариуса, возвращаем декларацией</t>
        </is>
      </c>
    </row>
    <row r="11">
      <c r="A11" s="4" t="inlineStr">
        <is>
          <t>Месяц возврата НДС</t>
        </is>
      </c>
      <c r="B11" s="16" t="n">
        <v>2</v>
      </c>
      <c r="H11" s="2" t="inlineStr"/>
    </row>
    <row r="12">
      <c r="A12" s="4" t="inlineStr">
        <is>
          <t>Нотариус и кадастр</t>
        </is>
      </c>
      <c r="B12" s="15" t="n">
        <v>0</v>
      </c>
      <c r="H12" s="2" t="inlineStr">
        <is>
          <t>в цене vrij op naam</t>
        </is>
      </c>
    </row>
    <row r="13">
      <c r="A13" s="4" t="inlineStr">
        <is>
          <t>Проверка объекта и договора</t>
        </is>
      </c>
      <c r="B13" s="15" t="n">
        <v>3000</v>
      </c>
      <c r="H13" s="2" t="inlineStr">
        <is>
          <t>оценка</t>
        </is>
      </c>
    </row>
    <row r="14">
      <c r="A14" s="4" t="inlineStr">
        <is>
          <t>Оценка для банка</t>
        </is>
      </c>
      <c r="B14" s="15" t="n">
        <v>3500</v>
      </c>
      <c r="H14" s="2" t="inlineStr">
        <is>
          <t>только при кредите</t>
        </is>
      </c>
    </row>
    <row r="15">
      <c r="A15" s="4" t="inlineStr">
        <is>
          <t>Консультант по покупке, % цены</t>
        </is>
      </c>
      <c r="B15" s="17" t="n">
        <v>0.01</v>
      </c>
      <c r="H15" s="2" t="inlineStr">
        <is>
          <t>оценка</t>
        </is>
      </c>
    </row>
    <row r="16">
      <c r="A16" s="14" t="inlineStr">
        <is>
          <t>Отделка под арендатора</t>
        </is>
      </c>
    </row>
    <row r="17">
      <c r="A17" s="4" t="inlineStr">
        <is>
          <t>Отделка, € на м²</t>
        </is>
      </c>
      <c r="B17" s="15" t="n">
        <v>200</v>
      </c>
      <c r="H17" s="2" t="inlineStr">
        <is>
          <t>голая коробка: электрическое тепло, свет, туалет, кухня, пожарная защита</t>
        </is>
      </c>
    </row>
    <row r="18">
      <c r="A18" s="4" t="inlineStr">
        <is>
          <t>Отделка, резерв</t>
        </is>
      </c>
      <c r="B18" s="15" t="n">
        <v>5000</v>
      </c>
      <c r="H18" s="2" t="inlineStr"/>
    </row>
    <row r="19">
      <c r="A19" s="4" t="inlineStr">
        <is>
          <t>НДС на отделку как расход</t>
        </is>
      </c>
      <c r="B19" s="17" t="n">
        <v>0</v>
      </c>
      <c r="H19" s="2" t="inlineStr">
        <is>
          <t>0 %: аренда с НДС, НДС на работы возвращается</t>
        </is>
      </c>
    </row>
    <row r="20">
      <c r="A20" s="4" t="inlineStr">
        <is>
          <t>Месяцев на отделку</t>
        </is>
      </c>
      <c r="B20" s="16" t="n">
        <v>2</v>
      </c>
      <c r="H20" s="2" t="inlineStr"/>
    </row>
    <row r="21">
      <c r="A21" s="14" t="inlineStr">
        <is>
          <t>Сдача в аренду</t>
        </is>
      </c>
    </row>
    <row r="22">
      <c r="A22" s="4" t="inlineStr">
        <is>
          <t>Брокер по аренде, % годовой аренды</t>
        </is>
      </c>
      <c r="B22" s="17" t="n">
        <v>0.15</v>
      </c>
      <c r="H22" s="2" t="inlineStr"/>
    </row>
    <row r="23">
      <c r="A23" s="4" t="inlineStr">
        <is>
          <t>Реклама и показы</t>
        </is>
      </c>
      <c r="B23" s="15" t="n">
        <v>1500</v>
      </c>
      <c r="H23" s="2" t="inlineStr"/>
    </row>
    <row r="24">
      <c r="A24" s="14" t="inlineStr">
        <is>
          <t>Содержание</t>
        </is>
      </c>
    </row>
    <row r="25">
      <c r="A25" s="4" t="inlineStr">
        <is>
          <t>Налог OZB, страховка, ремонт: % цены в год</t>
        </is>
      </c>
      <c r="B25" s="18" t="n">
        <v>0.006</v>
      </c>
      <c r="H25" s="2" t="inlineStr"/>
    </row>
    <row r="26">
      <c r="A26" s="4" t="inlineStr">
        <is>
          <t>Постоянные платежи владельца, € в год</t>
        </is>
      </c>
      <c r="B26" s="15" t="n">
        <v>1000</v>
      </c>
      <c r="H26" s="2" t="inlineStr">
        <is>
          <t>взносы за общий двор и парковку</t>
        </is>
      </c>
    </row>
    <row r="27">
      <c r="A27" s="4" t="inlineStr">
        <is>
          <t>Энергия и охрана в простое, € на м² в год</t>
        </is>
      </c>
      <c r="B27" s="19" t="n">
        <v>3</v>
      </c>
      <c r="H27" s="2" t="inlineStr"/>
    </row>
    <row r="28">
      <c r="A28" s="14" t="inlineStr">
        <is>
          <t>Кредит — по умолчанию не используется: покупка за свои средства</t>
        </is>
      </c>
    </row>
    <row r="29">
      <c r="A29" s="4" t="inlineStr">
        <is>
          <t>Кредит, доля цены покупки</t>
        </is>
      </c>
      <c r="B29" s="17" t="n">
        <v>0</v>
      </c>
      <c r="H29" s="2" t="inlineStr">
        <is>
          <t>0 % — покупка за свои средства</t>
        </is>
      </c>
    </row>
    <row r="30">
      <c r="A30" s="4" t="inlineStr">
        <is>
          <t>Ставка кредита</t>
        </is>
      </c>
      <c r="B30" s="18" t="n">
        <v>0.05128</v>
      </c>
      <c r="H30" s="2" t="inlineStr">
        <is>
          <t>только если включить кредит</t>
        </is>
      </c>
    </row>
    <row r="31">
      <c r="A31" s="4" t="inlineStr">
        <is>
          <t>Комиссия банка, % кредита</t>
        </is>
      </c>
      <c r="B31" s="17" t="n">
        <v>0.01</v>
      </c>
      <c r="H31" s="2" t="inlineStr">
        <is>
          <t>только если включить кредит</t>
        </is>
      </c>
    </row>
    <row r="32">
      <c r="A32" s="14" t="inlineStr">
        <is>
          <t>Продажа</t>
        </is>
      </c>
    </row>
    <row r="33">
      <c r="A33" s="4" t="inlineStr">
        <is>
          <t>Брокер на продаже, % цены</t>
        </is>
      </c>
      <c r="B33" s="18" t="n">
        <v>0.0125</v>
      </c>
      <c r="H33" s="2" t="inlineStr"/>
    </row>
    <row r="34">
      <c r="A34" s="4" t="inlineStr">
        <is>
          <t>Юрист и реклама продажи</t>
        </is>
      </c>
      <c r="B34" s="15" t="n">
        <v>2500</v>
      </c>
      <c r="H34" s="2" t="inlineStr"/>
    </row>
    <row r="35">
      <c r="A35" s="4" t="inlineStr">
        <is>
          <t>Срок продажи без налога 10,4 % для инвестора, месяцев после начала аренды</t>
        </is>
      </c>
      <c r="B35" s="16" t="n">
        <v>6</v>
      </c>
      <c r="H35" s="2" t="inlineStr">
        <is>
          <t>ст. 15 WBR; аренда начинается в начале месяца въезда</t>
        </is>
      </c>
    </row>
    <row r="36">
      <c r="A36" s="4" t="inlineStr">
        <is>
          <t>Налог на передачу для инвестора при поздней продаже</t>
        </is>
      </c>
      <c r="B36" s="17" t="n">
        <v>0.104</v>
      </c>
      <c r="H36" s="2" t="inlineStr">
        <is>
          <t>инвестор снижает цену на эту сумму</t>
        </is>
      </c>
    </row>
    <row r="37">
      <c r="A37" s="4" t="inlineStr">
        <is>
          <t>Доля экономии покупателя по ст. 13 WBR, которую забираем в цене</t>
        </is>
      </c>
      <c r="B37" s="17" t="n">
        <v>0.5</v>
      </c>
      <c r="H37" s="2" t="inlineStr">
        <is>
          <t>только для обычной покупки и продажи до 6 месяцев</t>
        </is>
      </c>
    </row>
    <row r="38">
      <c r="A38" s="14" t="inlineStr">
        <is>
          <t>Налог на прибыль (VPB) 2026</t>
        </is>
      </c>
    </row>
    <row r="39">
      <c r="A39" s="4" t="inlineStr">
        <is>
          <t>Ставка до порога</t>
        </is>
      </c>
      <c r="B39" s="17" t="n">
        <v>0.19</v>
      </c>
      <c r="H39" s="2" t="inlineStr">
        <is>
          <t>KVK, 2026</t>
        </is>
      </c>
    </row>
    <row r="40">
      <c r="A40" s="4" t="inlineStr">
        <is>
          <t>Ставка выше порога</t>
        </is>
      </c>
      <c r="B40" s="18" t="n">
        <v>0.258</v>
      </c>
      <c r="H40" s="2" t="inlineStr"/>
    </row>
    <row r="41">
      <c r="A41" s="4" t="inlineStr">
        <is>
          <t>Порог</t>
        </is>
      </c>
      <c r="B41" s="15" t="n">
        <v>200000</v>
      </c>
      <c r="H41" s="2" t="inlineStr"/>
    </row>
    <row r="43">
      <c r="A43" s="14" t="inlineStr">
        <is>
          <t>Сценарии</t>
        </is>
      </c>
    </row>
    <row r="44">
      <c r="A44" s="20" t="inlineStr">
        <is>
          <t>Параметр</t>
        </is>
      </c>
      <c r="B44" s="21" t="inlineStr">
        <is>
          <t>Активный</t>
        </is>
      </c>
      <c r="C44" s="21" t="inlineStr"/>
      <c r="D44" s="21" t="inlineStr">
        <is>
          <t>Пессимистичный</t>
        </is>
      </c>
      <c r="E44" s="21" t="inlineStr">
        <is>
          <t>Базовый</t>
        </is>
      </c>
      <c r="F44" s="21" t="inlineStr">
        <is>
          <t>Оптимистичный</t>
        </is>
      </c>
      <c r="G44" s="21" t="inlineStr">
        <is>
          <t>Поздняя продажа</t>
        </is>
      </c>
    </row>
    <row r="45">
      <c r="A45" s="4" t="inlineStr">
        <is>
          <t>Аренда, множитель к оценке</t>
        </is>
      </c>
      <c r="B45" s="22">
        <f>INDEX(D45:G45,scenario)</f>
        <v/>
      </c>
      <c r="D45" s="23" t="n">
        <v>0.9</v>
      </c>
      <c r="E45" s="23" t="n">
        <v>1</v>
      </c>
      <c r="F45" s="23" t="n">
        <v>1.1</v>
      </c>
      <c r="G45" s="23" t="n">
        <v>1</v>
      </c>
    </row>
    <row r="46">
      <c r="A46" s="4" t="inlineStr">
        <is>
          <t>Доходность для инвестора</t>
        </is>
      </c>
      <c r="B46" s="24">
        <f>INDEX(D46:G46,scenario)</f>
        <v/>
      </c>
      <c r="D46" s="18" t="n">
        <v>0.07999999999999999</v>
      </c>
      <c r="E46" s="18" t="n">
        <v>0.0725</v>
      </c>
      <c r="F46" s="18" t="n">
        <v>0.06749999999999999</v>
      </c>
      <c r="G46" s="18" t="n">
        <v>0.0725</v>
      </c>
    </row>
    <row r="47">
      <c r="A47" s="4" t="inlineStr">
        <is>
          <t>Месяц въезда арендатора</t>
        </is>
      </c>
      <c r="B47" s="25">
        <f>INDEX(D47:G47,scenario)</f>
        <v/>
      </c>
      <c r="D47" s="16" t="n">
        <v>5</v>
      </c>
      <c r="E47" s="16" t="n">
        <v>3</v>
      </c>
      <c r="F47" s="16" t="n">
        <v>2</v>
      </c>
      <c r="G47" s="16" t="n">
        <v>3</v>
      </c>
    </row>
    <row r="48">
      <c r="A48" s="4" t="inlineStr">
        <is>
          <t>Месяцев без платы</t>
        </is>
      </c>
      <c r="B48" s="25">
        <f>INDEX(D48:G48,scenario)</f>
        <v/>
      </c>
      <c r="D48" s="16" t="n">
        <v>3</v>
      </c>
      <c r="E48" s="16" t="n">
        <v>2</v>
      </c>
      <c r="F48" s="16" t="n">
        <v>2</v>
      </c>
      <c r="G48" s="16" t="n">
        <v>2</v>
      </c>
    </row>
    <row r="49">
      <c r="A49" s="4" t="inlineStr">
        <is>
          <t>Месяц продажи (акт у нотариуса)</t>
        </is>
      </c>
      <c r="B49" s="25">
        <f>INDEX(D49:G49,scenario)</f>
        <v/>
      </c>
      <c r="D49" s="16" t="n">
        <v>10</v>
      </c>
      <c r="E49" s="16" t="n">
        <v>7</v>
      </c>
      <c r="F49" s="16" t="n">
        <v>6</v>
      </c>
      <c r="G49" s="16" t="n">
        <v>12</v>
      </c>
    </row>
    <row r="50">
      <c r="A50" s="6" t="inlineStr">
        <is>
          <t>Активный сценарий: 1 — пессимистичный, 2 — базовый, 3 — оптимистичный, 4 — поздняя продажа</t>
        </is>
      </c>
      <c r="B50" s="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Денежный поток по месяцам</t>
        </is>
      </c>
    </row>
    <row r="2">
      <c r="A2" s="2" t="inlineStr">
        <is>
          <t>Месяц 0 — акт у нотариуса и оплата; продажа — в месяц продажи</t>
        </is>
      </c>
    </row>
    <row r="3">
      <c r="A3" s="6" t="inlineStr">
        <is>
          <t>Месяц</t>
        </is>
      </c>
      <c r="B3" s="27" t="n">
        <v>0</v>
      </c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</row>
    <row r="4">
      <c r="A4" s="4" t="inlineStr">
        <is>
          <t>В работе (до продажи)</t>
        </is>
      </c>
      <c r="B4" s="8">
        <f>IF(B$3&lt;=sale_month,1,0)</f>
        <v/>
      </c>
      <c r="C4" s="8">
        <f>IF(C$3&lt;=sale_month,1,0)</f>
        <v/>
      </c>
      <c r="D4" s="8">
        <f>IF(D$3&lt;=sale_month,1,0)</f>
        <v/>
      </c>
      <c r="E4" s="8">
        <f>IF(E$3&lt;=sale_month,1,0)</f>
        <v/>
      </c>
      <c r="F4" s="8">
        <f>IF(F$3&lt;=sale_month,1,0)</f>
        <v/>
      </c>
      <c r="G4" s="8">
        <f>IF(G$3&lt;=sale_month,1,0)</f>
        <v/>
      </c>
      <c r="H4" s="8">
        <f>IF(H$3&lt;=sale_month,1,0)</f>
        <v/>
      </c>
      <c r="I4" s="8">
        <f>IF(I$3&lt;=sale_month,1,0)</f>
        <v/>
      </c>
      <c r="J4" s="8">
        <f>IF(J$3&lt;=sale_month,1,0)</f>
        <v/>
      </c>
      <c r="K4" s="8">
        <f>IF(K$3&lt;=sale_month,1,0)</f>
        <v/>
      </c>
      <c r="L4" s="8">
        <f>IF(L$3&lt;=sale_month,1,0)</f>
        <v/>
      </c>
      <c r="M4" s="8">
        <f>IF(M$3&lt;=sale_month,1,0)</f>
        <v/>
      </c>
      <c r="N4" s="8">
        <f>IF(N$3&lt;=sale_month,1,0)</f>
        <v/>
      </c>
      <c r="O4" s="8">
        <f>IF(O$3&lt;=sale_month,1,0)</f>
        <v/>
      </c>
      <c r="P4" s="8">
        <f>IF(P$3&lt;=sale_month,1,0)</f>
        <v/>
      </c>
      <c r="Q4" s="8">
        <f>IF(Q$3&lt;=sale_month,1,0)</f>
        <v/>
      </c>
      <c r="R4" s="8">
        <f>IF(R$3&lt;=sale_month,1,0)</f>
        <v/>
      </c>
      <c r="S4" s="8">
        <f>IF(S$3&lt;=sale_month,1,0)</f>
        <v/>
      </c>
      <c r="T4" s="8">
        <f>IF(T$3&lt;=sale_month,1,0)</f>
        <v/>
      </c>
      <c r="U4" s="8">
        <f>IF(U$3&lt;=sale_month,1,0)</f>
        <v/>
      </c>
      <c r="V4" s="8">
        <f>IF(V$3&lt;=sale_month,1,0)</f>
        <v/>
      </c>
      <c r="W4" s="8">
        <f>IF(W$3&lt;=sale_month,1,0)</f>
        <v/>
      </c>
      <c r="X4" s="8">
        <f>IF(X$3&lt;=sale_month,1,0)</f>
        <v/>
      </c>
      <c r="Y4" s="8">
        <f>IF(Y$3&lt;=sale_month,1,0)</f>
        <v/>
      </c>
      <c r="Z4" s="8">
        <f>IF(Z$3&lt;=sale_month,1,0)</f>
        <v/>
      </c>
    </row>
    <row r="5">
      <c r="A5" s="4" t="inlineStr">
        <is>
          <t>Покупка и расходы на сделку</t>
        </is>
      </c>
      <c r="B5" s="5">
        <f>IF(B$3=0,-acq_total,0)</f>
        <v/>
      </c>
      <c r="C5" s="5">
        <f>IF(C$3=0,-acq_total,0)</f>
        <v/>
      </c>
      <c r="D5" s="5">
        <f>IF(D$3=0,-acq_total,0)</f>
        <v/>
      </c>
      <c r="E5" s="5">
        <f>IF(E$3=0,-acq_total,0)</f>
        <v/>
      </c>
      <c r="F5" s="5">
        <f>IF(F$3=0,-acq_total,0)</f>
        <v/>
      </c>
      <c r="G5" s="5">
        <f>IF(G$3=0,-acq_total,0)</f>
        <v/>
      </c>
      <c r="H5" s="5">
        <f>IF(H$3=0,-acq_total,0)</f>
        <v/>
      </c>
      <c r="I5" s="5">
        <f>IF(I$3=0,-acq_total,0)</f>
        <v/>
      </c>
      <c r="J5" s="5">
        <f>IF(J$3=0,-acq_total,0)</f>
        <v/>
      </c>
      <c r="K5" s="5">
        <f>IF(K$3=0,-acq_total,0)</f>
        <v/>
      </c>
      <c r="L5" s="5">
        <f>IF(L$3=0,-acq_total,0)</f>
        <v/>
      </c>
      <c r="M5" s="5">
        <f>IF(M$3=0,-acq_total,0)</f>
        <v/>
      </c>
      <c r="N5" s="5">
        <f>IF(N$3=0,-acq_total,0)</f>
        <v/>
      </c>
      <c r="O5" s="5">
        <f>IF(O$3=0,-acq_total,0)</f>
        <v/>
      </c>
      <c r="P5" s="5">
        <f>IF(P$3=0,-acq_total,0)</f>
        <v/>
      </c>
      <c r="Q5" s="5">
        <f>IF(Q$3=0,-acq_total,0)</f>
        <v/>
      </c>
      <c r="R5" s="5">
        <f>IF(R$3=0,-acq_total,0)</f>
        <v/>
      </c>
      <c r="S5" s="5">
        <f>IF(S$3=0,-acq_total,0)</f>
        <v/>
      </c>
      <c r="T5" s="5">
        <f>IF(T$3=0,-acq_total,0)</f>
        <v/>
      </c>
      <c r="U5" s="5">
        <f>IF(U$3=0,-acq_total,0)</f>
        <v/>
      </c>
      <c r="V5" s="5">
        <f>IF(V$3=0,-acq_total,0)</f>
        <v/>
      </c>
      <c r="W5" s="5">
        <f>IF(W$3=0,-acq_total,0)</f>
        <v/>
      </c>
      <c r="X5" s="5">
        <f>IF(X$3=0,-acq_total,0)</f>
        <v/>
      </c>
      <c r="Y5" s="5">
        <f>IF(Y$3=0,-acq_total,0)</f>
        <v/>
      </c>
      <c r="Z5" s="5">
        <f>IF(Z$3=0,-acq_total,0)</f>
        <v/>
      </c>
    </row>
    <row r="6">
      <c r="A6" s="4" t="inlineStr">
        <is>
          <t>НДС с цены: оплата и возврат</t>
        </is>
      </c>
      <c r="B6" s="5">
        <f>IF(B$3=0,-vat_paid,0)+IF(B$3=MIN(vat_refund_month,sale_month),vat_paid,0)</f>
        <v/>
      </c>
      <c r="C6" s="5">
        <f>IF(C$3=0,-vat_paid,0)+IF(C$3=MIN(vat_refund_month,sale_month),vat_paid,0)</f>
        <v/>
      </c>
      <c r="D6" s="5">
        <f>IF(D$3=0,-vat_paid,0)+IF(D$3=MIN(vat_refund_month,sale_month),vat_paid,0)</f>
        <v/>
      </c>
      <c r="E6" s="5">
        <f>IF(E$3=0,-vat_paid,0)+IF(E$3=MIN(vat_refund_month,sale_month),vat_paid,0)</f>
        <v/>
      </c>
      <c r="F6" s="5">
        <f>IF(F$3=0,-vat_paid,0)+IF(F$3=MIN(vat_refund_month,sale_month),vat_paid,0)</f>
        <v/>
      </c>
      <c r="G6" s="5">
        <f>IF(G$3=0,-vat_paid,0)+IF(G$3=MIN(vat_refund_month,sale_month),vat_paid,0)</f>
        <v/>
      </c>
      <c r="H6" s="5">
        <f>IF(H$3=0,-vat_paid,0)+IF(H$3=MIN(vat_refund_month,sale_month),vat_paid,0)</f>
        <v/>
      </c>
      <c r="I6" s="5">
        <f>IF(I$3=0,-vat_paid,0)+IF(I$3=MIN(vat_refund_month,sale_month),vat_paid,0)</f>
        <v/>
      </c>
      <c r="J6" s="5">
        <f>IF(J$3=0,-vat_paid,0)+IF(J$3=MIN(vat_refund_month,sale_month),vat_paid,0)</f>
        <v/>
      </c>
      <c r="K6" s="5">
        <f>IF(K$3=0,-vat_paid,0)+IF(K$3=MIN(vat_refund_month,sale_month),vat_paid,0)</f>
        <v/>
      </c>
      <c r="L6" s="5">
        <f>IF(L$3=0,-vat_paid,0)+IF(L$3=MIN(vat_refund_month,sale_month),vat_paid,0)</f>
        <v/>
      </c>
      <c r="M6" s="5">
        <f>IF(M$3=0,-vat_paid,0)+IF(M$3=MIN(vat_refund_month,sale_month),vat_paid,0)</f>
        <v/>
      </c>
      <c r="N6" s="5">
        <f>IF(N$3=0,-vat_paid,0)+IF(N$3=MIN(vat_refund_month,sale_month),vat_paid,0)</f>
        <v/>
      </c>
      <c r="O6" s="5">
        <f>IF(O$3=0,-vat_paid,0)+IF(O$3=MIN(vat_refund_month,sale_month),vat_paid,0)</f>
        <v/>
      </c>
      <c r="P6" s="5">
        <f>IF(P$3=0,-vat_paid,0)+IF(P$3=MIN(vat_refund_month,sale_month),vat_paid,0)</f>
        <v/>
      </c>
      <c r="Q6" s="5">
        <f>IF(Q$3=0,-vat_paid,0)+IF(Q$3=MIN(vat_refund_month,sale_month),vat_paid,0)</f>
        <v/>
      </c>
      <c r="R6" s="5">
        <f>IF(R$3=0,-vat_paid,0)+IF(R$3=MIN(vat_refund_month,sale_month),vat_paid,0)</f>
        <v/>
      </c>
      <c r="S6" s="5">
        <f>IF(S$3=0,-vat_paid,0)+IF(S$3=MIN(vat_refund_month,sale_month),vat_paid,0)</f>
        <v/>
      </c>
      <c r="T6" s="5">
        <f>IF(T$3=0,-vat_paid,0)+IF(T$3=MIN(vat_refund_month,sale_month),vat_paid,0)</f>
        <v/>
      </c>
      <c r="U6" s="5">
        <f>IF(U$3=0,-vat_paid,0)+IF(U$3=MIN(vat_refund_month,sale_month),vat_paid,0)</f>
        <v/>
      </c>
      <c r="V6" s="5">
        <f>IF(V$3=0,-vat_paid,0)+IF(V$3=MIN(vat_refund_month,sale_month),vat_paid,0)</f>
        <v/>
      </c>
      <c r="W6" s="5">
        <f>IF(W$3=0,-vat_paid,0)+IF(W$3=MIN(vat_refund_month,sale_month),vat_paid,0)</f>
        <v/>
      </c>
      <c r="X6" s="5">
        <f>IF(X$3=0,-vat_paid,0)+IF(X$3=MIN(vat_refund_month,sale_month),vat_paid,0)</f>
        <v/>
      </c>
      <c r="Y6" s="5">
        <f>IF(Y$3=0,-vat_paid,0)+IF(Y$3=MIN(vat_refund_month,sale_month),vat_paid,0)</f>
        <v/>
      </c>
      <c r="Z6" s="5">
        <f>IF(Z$3=0,-vat_paid,0)+IF(Z$3=MIN(vat_refund_month,sale_month),vat_paid,0)</f>
        <v/>
      </c>
    </row>
    <row r="7">
      <c r="A7" s="4" t="inlineStr">
        <is>
          <t>Отделка</t>
        </is>
      </c>
      <c r="B7" s="5">
        <f>IF(AND(B$3&gt;=1,B$3&lt;=capex_months,B$3&lt;=sale_month),-capex_total/capex_months,0)</f>
        <v/>
      </c>
      <c r="C7" s="5">
        <f>IF(AND(C$3&gt;=1,C$3&lt;=capex_months,C$3&lt;=sale_month),-capex_total/capex_months,0)</f>
        <v/>
      </c>
      <c r="D7" s="5">
        <f>IF(AND(D$3&gt;=1,D$3&lt;=capex_months,D$3&lt;=sale_month),-capex_total/capex_months,0)</f>
        <v/>
      </c>
      <c r="E7" s="5">
        <f>IF(AND(E$3&gt;=1,E$3&lt;=capex_months,E$3&lt;=sale_month),-capex_total/capex_months,0)</f>
        <v/>
      </c>
      <c r="F7" s="5">
        <f>IF(AND(F$3&gt;=1,F$3&lt;=capex_months,F$3&lt;=sale_month),-capex_total/capex_months,0)</f>
        <v/>
      </c>
      <c r="G7" s="5">
        <f>IF(AND(G$3&gt;=1,G$3&lt;=capex_months,G$3&lt;=sale_month),-capex_total/capex_months,0)</f>
        <v/>
      </c>
      <c r="H7" s="5">
        <f>IF(AND(H$3&gt;=1,H$3&lt;=capex_months,H$3&lt;=sale_month),-capex_total/capex_months,0)</f>
        <v/>
      </c>
      <c r="I7" s="5">
        <f>IF(AND(I$3&gt;=1,I$3&lt;=capex_months,I$3&lt;=sale_month),-capex_total/capex_months,0)</f>
        <v/>
      </c>
      <c r="J7" s="5">
        <f>IF(AND(J$3&gt;=1,J$3&lt;=capex_months,J$3&lt;=sale_month),-capex_total/capex_months,0)</f>
        <v/>
      </c>
      <c r="K7" s="5">
        <f>IF(AND(K$3&gt;=1,K$3&lt;=capex_months,K$3&lt;=sale_month),-capex_total/capex_months,0)</f>
        <v/>
      </c>
      <c r="L7" s="5">
        <f>IF(AND(L$3&gt;=1,L$3&lt;=capex_months,L$3&lt;=sale_month),-capex_total/capex_months,0)</f>
        <v/>
      </c>
      <c r="M7" s="5">
        <f>IF(AND(M$3&gt;=1,M$3&lt;=capex_months,M$3&lt;=sale_month),-capex_total/capex_months,0)</f>
        <v/>
      </c>
      <c r="N7" s="5">
        <f>IF(AND(N$3&gt;=1,N$3&lt;=capex_months,N$3&lt;=sale_month),-capex_total/capex_months,0)</f>
        <v/>
      </c>
      <c r="O7" s="5">
        <f>IF(AND(O$3&gt;=1,O$3&lt;=capex_months,O$3&lt;=sale_month),-capex_total/capex_months,0)</f>
        <v/>
      </c>
      <c r="P7" s="5">
        <f>IF(AND(P$3&gt;=1,P$3&lt;=capex_months,P$3&lt;=sale_month),-capex_total/capex_months,0)</f>
        <v/>
      </c>
      <c r="Q7" s="5">
        <f>IF(AND(Q$3&gt;=1,Q$3&lt;=capex_months,Q$3&lt;=sale_month),-capex_total/capex_months,0)</f>
        <v/>
      </c>
      <c r="R7" s="5">
        <f>IF(AND(R$3&gt;=1,R$3&lt;=capex_months,R$3&lt;=sale_month),-capex_total/capex_months,0)</f>
        <v/>
      </c>
      <c r="S7" s="5">
        <f>IF(AND(S$3&gt;=1,S$3&lt;=capex_months,S$3&lt;=sale_month),-capex_total/capex_months,0)</f>
        <v/>
      </c>
      <c r="T7" s="5">
        <f>IF(AND(T$3&gt;=1,T$3&lt;=capex_months,T$3&lt;=sale_month),-capex_total/capex_months,0)</f>
        <v/>
      </c>
      <c r="U7" s="5">
        <f>IF(AND(U$3&gt;=1,U$3&lt;=capex_months,U$3&lt;=sale_month),-capex_total/capex_months,0)</f>
        <v/>
      </c>
      <c r="V7" s="5">
        <f>IF(AND(V$3&gt;=1,V$3&lt;=capex_months,V$3&lt;=sale_month),-capex_total/capex_months,0)</f>
        <v/>
      </c>
      <c r="W7" s="5">
        <f>IF(AND(W$3&gt;=1,W$3&lt;=capex_months,W$3&lt;=sale_month),-capex_total/capex_months,0)</f>
        <v/>
      </c>
      <c r="X7" s="5">
        <f>IF(AND(X$3&gt;=1,X$3&lt;=capex_months,X$3&lt;=sale_month),-capex_total/capex_months,0)</f>
        <v/>
      </c>
      <c r="Y7" s="5">
        <f>IF(AND(Y$3&gt;=1,Y$3&lt;=capex_months,Y$3&lt;=sale_month),-capex_total/capex_months,0)</f>
        <v/>
      </c>
      <c r="Z7" s="5">
        <f>IF(AND(Z$3&gt;=1,Z$3&lt;=capex_months,Z$3&lt;=sale_month),-capex_total/capex_months,0)</f>
        <v/>
      </c>
    </row>
    <row r="8">
      <c r="A8" s="4" t="inlineStr">
        <is>
          <t>Содержание</t>
        </is>
      </c>
      <c r="B8" s="5">
        <f>IF(AND(B$3&gt;=1,B$3&lt;=sale_month),-buy_price*holding_pct/12-hold_fixed/12,0)</f>
        <v/>
      </c>
      <c r="C8" s="5">
        <f>IF(AND(C$3&gt;=1,C$3&lt;=sale_month),-buy_price*holding_pct/12-hold_fixed/12,0)</f>
        <v/>
      </c>
      <c r="D8" s="5">
        <f>IF(AND(D$3&gt;=1,D$3&lt;=sale_month),-buy_price*holding_pct/12-hold_fixed/12,0)</f>
        <v/>
      </c>
      <c r="E8" s="5">
        <f>IF(AND(E$3&gt;=1,E$3&lt;=sale_month),-buy_price*holding_pct/12-hold_fixed/12,0)</f>
        <v/>
      </c>
      <c r="F8" s="5">
        <f>IF(AND(F$3&gt;=1,F$3&lt;=sale_month),-buy_price*holding_pct/12-hold_fixed/12,0)</f>
        <v/>
      </c>
      <c r="G8" s="5">
        <f>IF(AND(G$3&gt;=1,G$3&lt;=sale_month),-buy_price*holding_pct/12-hold_fixed/12,0)</f>
        <v/>
      </c>
      <c r="H8" s="5">
        <f>IF(AND(H$3&gt;=1,H$3&lt;=sale_month),-buy_price*holding_pct/12-hold_fixed/12,0)</f>
        <v/>
      </c>
      <c r="I8" s="5">
        <f>IF(AND(I$3&gt;=1,I$3&lt;=sale_month),-buy_price*holding_pct/12-hold_fixed/12,0)</f>
        <v/>
      </c>
      <c r="J8" s="5">
        <f>IF(AND(J$3&gt;=1,J$3&lt;=sale_month),-buy_price*holding_pct/12-hold_fixed/12,0)</f>
        <v/>
      </c>
      <c r="K8" s="5">
        <f>IF(AND(K$3&gt;=1,K$3&lt;=sale_month),-buy_price*holding_pct/12-hold_fixed/12,0)</f>
        <v/>
      </c>
      <c r="L8" s="5">
        <f>IF(AND(L$3&gt;=1,L$3&lt;=sale_month),-buy_price*holding_pct/12-hold_fixed/12,0)</f>
        <v/>
      </c>
      <c r="M8" s="5">
        <f>IF(AND(M$3&gt;=1,M$3&lt;=sale_month),-buy_price*holding_pct/12-hold_fixed/12,0)</f>
        <v/>
      </c>
      <c r="N8" s="5">
        <f>IF(AND(N$3&gt;=1,N$3&lt;=sale_month),-buy_price*holding_pct/12-hold_fixed/12,0)</f>
        <v/>
      </c>
      <c r="O8" s="5">
        <f>IF(AND(O$3&gt;=1,O$3&lt;=sale_month),-buy_price*holding_pct/12-hold_fixed/12,0)</f>
        <v/>
      </c>
      <c r="P8" s="5">
        <f>IF(AND(P$3&gt;=1,P$3&lt;=sale_month),-buy_price*holding_pct/12-hold_fixed/12,0)</f>
        <v/>
      </c>
      <c r="Q8" s="5">
        <f>IF(AND(Q$3&gt;=1,Q$3&lt;=sale_month),-buy_price*holding_pct/12-hold_fixed/12,0)</f>
        <v/>
      </c>
      <c r="R8" s="5">
        <f>IF(AND(R$3&gt;=1,R$3&lt;=sale_month),-buy_price*holding_pct/12-hold_fixed/12,0)</f>
        <v/>
      </c>
      <c r="S8" s="5">
        <f>IF(AND(S$3&gt;=1,S$3&lt;=sale_month),-buy_price*holding_pct/12-hold_fixed/12,0)</f>
        <v/>
      </c>
      <c r="T8" s="5">
        <f>IF(AND(T$3&gt;=1,T$3&lt;=sale_month),-buy_price*holding_pct/12-hold_fixed/12,0)</f>
        <v/>
      </c>
      <c r="U8" s="5">
        <f>IF(AND(U$3&gt;=1,U$3&lt;=sale_month),-buy_price*holding_pct/12-hold_fixed/12,0)</f>
        <v/>
      </c>
      <c r="V8" s="5">
        <f>IF(AND(V$3&gt;=1,V$3&lt;=sale_month),-buy_price*holding_pct/12-hold_fixed/12,0)</f>
        <v/>
      </c>
      <c r="W8" s="5">
        <f>IF(AND(W$3&gt;=1,W$3&lt;=sale_month),-buy_price*holding_pct/12-hold_fixed/12,0)</f>
        <v/>
      </c>
      <c r="X8" s="5">
        <f>IF(AND(X$3&gt;=1,X$3&lt;=sale_month),-buy_price*holding_pct/12-hold_fixed/12,0)</f>
        <v/>
      </c>
      <c r="Y8" s="5">
        <f>IF(AND(Y$3&gt;=1,Y$3&lt;=sale_month),-buy_price*holding_pct/12-hold_fixed/12,0)</f>
        <v/>
      </c>
      <c r="Z8" s="5">
        <f>IF(AND(Z$3&gt;=1,Z$3&lt;=sale_month),-buy_price*holding_pct/12-hold_fixed/12,0)</f>
        <v/>
      </c>
    </row>
    <row r="9">
      <c r="A9" s="4" t="inlineStr">
        <is>
          <t>Энергия и охрана в простое</t>
        </is>
      </c>
      <c r="B9" s="5">
        <f>IF(AND(B$3&gt;=1,B$3&lt;lease_month,B$3&lt;=sale_month),-void_m2*area_m2/12,0)</f>
        <v/>
      </c>
      <c r="C9" s="5">
        <f>IF(AND(C$3&gt;=1,C$3&lt;lease_month,C$3&lt;=sale_month),-void_m2*area_m2/12,0)</f>
        <v/>
      </c>
      <c r="D9" s="5">
        <f>IF(AND(D$3&gt;=1,D$3&lt;lease_month,D$3&lt;=sale_month),-void_m2*area_m2/12,0)</f>
        <v/>
      </c>
      <c r="E9" s="5">
        <f>IF(AND(E$3&gt;=1,E$3&lt;lease_month,E$3&lt;=sale_month),-void_m2*area_m2/12,0)</f>
        <v/>
      </c>
      <c r="F9" s="5">
        <f>IF(AND(F$3&gt;=1,F$3&lt;lease_month,F$3&lt;=sale_month),-void_m2*area_m2/12,0)</f>
        <v/>
      </c>
      <c r="G9" s="5">
        <f>IF(AND(G$3&gt;=1,G$3&lt;lease_month,G$3&lt;=sale_month),-void_m2*area_m2/12,0)</f>
        <v/>
      </c>
      <c r="H9" s="5">
        <f>IF(AND(H$3&gt;=1,H$3&lt;lease_month,H$3&lt;=sale_month),-void_m2*area_m2/12,0)</f>
        <v/>
      </c>
      <c r="I9" s="5">
        <f>IF(AND(I$3&gt;=1,I$3&lt;lease_month,I$3&lt;=sale_month),-void_m2*area_m2/12,0)</f>
        <v/>
      </c>
      <c r="J9" s="5">
        <f>IF(AND(J$3&gt;=1,J$3&lt;lease_month,J$3&lt;=sale_month),-void_m2*area_m2/12,0)</f>
        <v/>
      </c>
      <c r="K9" s="5">
        <f>IF(AND(K$3&gt;=1,K$3&lt;lease_month,K$3&lt;=sale_month),-void_m2*area_m2/12,0)</f>
        <v/>
      </c>
      <c r="L9" s="5">
        <f>IF(AND(L$3&gt;=1,L$3&lt;lease_month,L$3&lt;=sale_month),-void_m2*area_m2/12,0)</f>
        <v/>
      </c>
      <c r="M9" s="5">
        <f>IF(AND(M$3&gt;=1,M$3&lt;lease_month,M$3&lt;=sale_month),-void_m2*area_m2/12,0)</f>
        <v/>
      </c>
      <c r="N9" s="5">
        <f>IF(AND(N$3&gt;=1,N$3&lt;lease_month,N$3&lt;=sale_month),-void_m2*area_m2/12,0)</f>
        <v/>
      </c>
      <c r="O9" s="5">
        <f>IF(AND(O$3&gt;=1,O$3&lt;lease_month,O$3&lt;=sale_month),-void_m2*area_m2/12,0)</f>
        <v/>
      </c>
      <c r="P9" s="5">
        <f>IF(AND(P$3&gt;=1,P$3&lt;lease_month,P$3&lt;=sale_month),-void_m2*area_m2/12,0)</f>
        <v/>
      </c>
      <c r="Q9" s="5">
        <f>IF(AND(Q$3&gt;=1,Q$3&lt;lease_month,Q$3&lt;=sale_month),-void_m2*area_m2/12,0)</f>
        <v/>
      </c>
      <c r="R9" s="5">
        <f>IF(AND(R$3&gt;=1,R$3&lt;lease_month,R$3&lt;=sale_month),-void_m2*area_m2/12,0)</f>
        <v/>
      </c>
      <c r="S9" s="5">
        <f>IF(AND(S$3&gt;=1,S$3&lt;lease_month,S$3&lt;=sale_month),-void_m2*area_m2/12,0)</f>
        <v/>
      </c>
      <c r="T9" s="5">
        <f>IF(AND(T$3&gt;=1,T$3&lt;lease_month,T$3&lt;=sale_month),-void_m2*area_m2/12,0)</f>
        <v/>
      </c>
      <c r="U9" s="5">
        <f>IF(AND(U$3&gt;=1,U$3&lt;lease_month,U$3&lt;=sale_month),-void_m2*area_m2/12,0)</f>
        <v/>
      </c>
      <c r="V9" s="5">
        <f>IF(AND(V$3&gt;=1,V$3&lt;lease_month,V$3&lt;=sale_month),-void_m2*area_m2/12,0)</f>
        <v/>
      </c>
      <c r="W9" s="5">
        <f>IF(AND(W$3&gt;=1,W$3&lt;lease_month,W$3&lt;=sale_month),-void_m2*area_m2/12,0)</f>
        <v/>
      </c>
      <c r="X9" s="5">
        <f>IF(AND(X$3&gt;=1,X$3&lt;lease_month,X$3&lt;=sale_month),-void_m2*area_m2/12,0)</f>
        <v/>
      </c>
      <c r="Y9" s="5">
        <f>IF(AND(Y$3&gt;=1,Y$3&lt;lease_month,Y$3&lt;=sale_month),-void_m2*area_m2/12,0)</f>
        <v/>
      </c>
      <c r="Z9" s="5">
        <f>IF(AND(Z$3&gt;=1,Z$3&lt;lease_month,Z$3&lt;=sale_month),-void_m2*area_m2/12,0)</f>
        <v/>
      </c>
    </row>
    <row r="10">
      <c r="A10" s="4" t="inlineStr">
        <is>
          <t>Сдача: брокер и реклама</t>
        </is>
      </c>
      <c r="B10" s="5">
        <f>IF(AND(B$3&gt;=1,B$3=lease_month,B$3&lt;=sale_month),-(rent_eff*letting_fee+marketing),0)</f>
        <v/>
      </c>
      <c r="C10" s="5">
        <f>IF(AND(C$3&gt;=1,C$3=lease_month,C$3&lt;=sale_month),-(rent_eff*letting_fee+marketing),0)</f>
        <v/>
      </c>
      <c r="D10" s="5">
        <f>IF(AND(D$3&gt;=1,D$3=lease_month,D$3&lt;=sale_month),-(rent_eff*letting_fee+marketing),0)</f>
        <v/>
      </c>
      <c r="E10" s="5">
        <f>IF(AND(E$3&gt;=1,E$3=lease_month,E$3&lt;=sale_month),-(rent_eff*letting_fee+marketing),0)</f>
        <v/>
      </c>
      <c r="F10" s="5">
        <f>IF(AND(F$3&gt;=1,F$3=lease_month,F$3&lt;=sale_month),-(rent_eff*letting_fee+marketing),0)</f>
        <v/>
      </c>
      <c r="G10" s="5">
        <f>IF(AND(G$3&gt;=1,G$3=lease_month,G$3&lt;=sale_month),-(rent_eff*letting_fee+marketing),0)</f>
        <v/>
      </c>
      <c r="H10" s="5">
        <f>IF(AND(H$3&gt;=1,H$3=lease_month,H$3&lt;=sale_month),-(rent_eff*letting_fee+marketing),0)</f>
        <v/>
      </c>
      <c r="I10" s="5">
        <f>IF(AND(I$3&gt;=1,I$3=lease_month,I$3&lt;=sale_month),-(rent_eff*letting_fee+marketing),0)</f>
        <v/>
      </c>
      <c r="J10" s="5">
        <f>IF(AND(J$3&gt;=1,J$3=lease_month,J$3&lt;=sale_month),-(rent_eff*letting_fee+marketing),0)</f>
        <v/>
      </c>
      <c r="K10" s="5">
        <f>IF(AND(K$3&gt;=1,K$3=lease_month,K$3&lt;=sale_month),-(rent_eff*letting_fee+marketing),0)</f>
        <v/>
      </c>
      <c r="L10" s="5">
        <f>IF(AND(L$3&gt;=1,L$3=lease_month,L$3&lt;=sale_month),-(rent_eff*letting_fee+marketing),0)</f>
        <v/>
      </c>
      <c r="M10" s="5">
        <f>IF(AND(M$3&gt;=1,M$3=lease_month,M$3&lt;=sale_month),-(rent_eff*letting_fee+marketing),0)</f>
        <v/>
      </c>
      <c r="N10" s="5">
        <f>IF(AND(N$3&gt;=1,N$3=lease_month,N$3&lt;=sale_month),-(rent_eff*letting_fee+marketing),0)</f>
        <v/>
      </c>
      <c r="O10" s="5">
        <f>IF(AND(O$3&gt;=1,O$3=lease_month,O$3&lt;=sale_month),-(rent_eff*letting_fee+marketing),0)</f>
        <v/>
      </c>
      <c r="P10" s="5">
        <f>IF(AND(P$3&gt;=1,P$3=lease_month,P$3&lt;=sale_month),-(rent_eff*letting_fee+marketing),0)</f>
        <v/>
      </c>
      <c r="Q10" s="5">
        <f>IF(AND(Q$3&gt;=1,Q$3=lease_month,Q$3&lt;=sale_month),-(rent_eff*letting_fee+marketing),0)</f>
        <v/>
      </c>
      <c r="R10" s="5">
        <f>IF(AND(R$3&gt;=1,R$3=lease_month,R$3&lt;=sale_month),-(rent_eff*letting_fee+marketing),0)</f>
        <v/>
      </c>
      <c r="S10" s="5">
        <f>IF(AND(S$3&gt;=1,S$3=lease_month,S$3&lt;=sale_month),-(rent_eff*letting_fee+marketing),0)</f>
        <v/>
      </c>
      <c r="T10" s="5">
        <f>IF(AND(T$3&gt;=1,T$3=lease_month,T$3&lt;=sale_month),-(rent_eff*letting_fee+marketing),0)</f>
        <v/>
      </c>
      <c r="U10" s="5">
        <f>IF(AND(U$3&gt;=1,U$3=lease_month,U$3&lt;=sale_month),-(rent_eff*letting_fee+marketing),0)</f>
        <v/>
      </c>
      <c r="V10" s="5">
        <f>IF(AND(V$3&gt;=1,V$3=lease_month,V$3&lt;=sale_month),-(rent_eff*letting_fee+marketing),0)</f>
        <v/>
      </c>
      <c r="W10" s="5">
        <f>IF(AND(W$3&gt;=1,W$3=lease_month,W$3&lt;=sale_month),-(rent_eff*letting_fee+marketing),0)</f>
        <v/>
      </c>
      <c r="X10" s="5">
        <f>IF(AND(X$3&gt;=1,X$3=lease_month,X$3&lt;=sale_month),-(rent_eff*letting_fee+marketing),0)</f>
        <v/>
      </c>
      <c r="Y10" s="5">
        <f>IF(AND(Y$3&gt;=1,Y$3=lease_month,Y$3&lt;=sale_month),-(rent_eff*letting_fee+marketing),0)</f>
        <v/>
      </c>
      <c r="Z10" s="5">
        <f>IF(AND(Z$3&gt;=1,Z$3=lease_month,Z$3&lt;=sale_month),-(rent_eff*letting_fee+marketing),0)</f>
        <v/>
      </c>
    </row>
    <row r="11">
      <c r="A11" s="4" t="inlineStr">
        <is>
          <t>Аренда</t>
        </is>
      </c>
      <c r="B11" s="5">
        <f>IF(AND(B$3&gt;=1,B$3&gt;=first_paid,B$3&lt;=sale_month),rent_eff/12,0)</f>
        <v/>
      </c>
      <c r="C11" s="5">
        <f>IF(AND(C$3&gt;=1,C$3&gt;=first_paid,C$3&lt;=sale_month),rent_eff/12,0)</f>
        <v/>
      </c>
      <c r="D11" s="5">
        <f>IF(AND(D$3&gt;=1,D$3&gt;=first_paid,D$3&lt;=sale_month),rent_eff/12,0)</f>
        <v/>
      </c>
      <c r="E11" s="5">
        <f>IF(AND(E$3&gt;=1,E$3&gt;=first_paid,E$3&lt;=sale_month),rent_eff/12,0)</f>
        <v/>
      </c>
      <c r="F11" s="5">
        <f>IF(AND(F$3&gt;=1,F$3&gt;=first_paid,F$3&lt;=sale_month),rent_eff/12,0)</f>
        <v/>
      </c>
      <c r="G11" s="5">
        <f>IF(AND(G$3&gt;=1,G$3&gt;=first_paid,G$3&lt;=sale_month),rent_eff/12,0)</f>
        <v/>
      </c>
      <c r="H11" s="5">
        <f>IF(AND(H$3&gt;=1,H$3&gt;=first_paid,H$3&lt;=sale_month),rent_eff/12,0)</f>
        <v/>
      </c>
      <c r="I11" s="5">
        <f>IF(AND(I$3&gt;=1,I$3&gt;=first_paid,I$3&lt;=sale_month),rent_eff/12,0)</f>
        <v/>
      </c>
      <c r="J11" s="5">
        <f>IF(AND(J$3&gt;=1,J$3&gt;=first_paid,J$3&lt;=sale_month),rent_eff/12,0)</f>
        <v/>
      </c>
      <c r="K11" s="5">
        <f>IF(AND(K$3&gt;=1,K$3&gt;=first_paid,K$3&lt;=sale_month),rent_eff/12,0)</f>
        <v/>
      </c>
      <c r="L11" s="5">
        <f>IF(AND(L$3&gt;=1,L$3&gt;=first_paid,L$3&lt;=sale_month),rent_eff/12,0)</f>
        <v/>
      </c>
      <c r="M11" s="5">
        <f>IF(AND(M$3&gt;=1,M$3&gt;=first_paid,M$3&lt;=sale_month),rent_eff/12,0)</f>
        <v/>
      </c>
      <c r="N11" s="5">
        <f>IF(AND(N$3&gt;=1,N$3&gt;=first_paid,N$3&lt;=sale_month),rent_eff/12,0)</f>
        <v/>
      </c>
      <c r="O11" s="5">
        <f>IF(AND(O$3&gt;=1,O$3&gt;=first_paid,O$3&lt;=sale_month),rent_eff/12,0)</f>
        <v/>
      </c>
      <c r="P11" s="5">
        <f>IF(AND(P$3&gt;=1,P$3&gt;=first_paid,P$3&lt;=sale_month),rent_eff/12,0)</f>
        <v/>
      </c>
      <c r="Q11" s="5">
        <f>IF(AND(Q$3&gt;=1,Q$3&gt;=first_paid,Q$3&lt;=sale_month),rent_eff/12,0)</f>
        <v/>
      </c>
      <c r="R11" s="5">
        <f>IF(AND(R$3&gt;=1,R$3&gt;=first_paid,R$3&lt;=sale_month),rent_eff/12,0)</f>
        <v/>
      </c>
      <c r="S11" s="5">
        <f>IF(AND(S$3&gt;=1,S$3&gt;=first_paid,S$3&lt;=sale_month),rent_eff/12,0)</f>
        <v/>
      </c>
      <c r="T11" s="5">
        <f>IF(AND(T$3&gt;=1,T$3&gt;=first_paid,T$3&lt;=sale_month),rent_eff/12,0)</f>
        <v/>
      </c>
      <c r="U11" s="5">
        <f>IF(AND(U$3&gt;=1,U$3&gt;=first_paid,U$3&lt;=sale_month),rent_eff/12,0)</f>
        <v/>
      </c>
      <c r="V11" s="5">
        <f>IF(AND(V$3&gt;=1,V$3&gt;=first_paid,V$3&lt;=sale_month),rent_eff/12,0)</f>
        <v/>
      </c>
      <c r="W11" s="5">
        <f>IF(AND(W$3&gt;=1,W$3&gt;=first_paid,W$3&lt;=sale_month),rent_eff/12,0)</f>
        <v/>
      </c>
      <c r="X11" s="5">
        <f>IF(AND(X$3&gt;=1,X$3&gt;=first_paid,X$3&lt;=sale_month),rent_eff/12,0)</f>
        <v/>
      </c>
      <c r="Y11" s="5">
        <f>IF(AND(Y$3&gt;=1,Y$3&gt;=first_paid,Y$3&lt;=sale_month),rent_eff/12,0)</f>
        <v/>
      </c>
      <c r="Z11" s="5">
        <f>IF(AND(Z$3&gt;=1,Z$3&gt;=first_paid,Z$3&lt;=sale_month),rent_eff/12,0)</f>
        <v/>
      </c>
    </row>
    <row r="12">
      <c r="A12" s="4" t="inlineStr">
        <is>
          <t>Проценты</t>
        </is>
      </c>
      <c r="B12" s="5">
        <f>IF(AND(B$3&gt;=1,B$3&lt;=sale_month),-loan*loan_rate/12,0)</f>
        <v/>
      </c>
      <c r="C12" s="5">
        <f>IF(AND(C$3&gt;=1,C$3&lt;=sale_month),-loan*loan_rate/12,0)</f>
        <v/>
      </c>
      <c r="D12" s="5">
        <f>IF(AND(D$3&gt;=1,D$3&lt;=sale_month),-loan*loan_rate/12,0)</f>
        <v/>
      </c>
      <c r="E12" s="5">
        <f>IF(AND(E$3&gt;=1,E$3&lt;=sale_month),-loan*loan_rate/12,0)</f>
        <v/>
      </c>
      <c r="F12" s="5">
        <f>IF(AND(F$3&gt;=1,F$3&lt;=sale_month),-loan*loan_rate/12,0)</f>
        <v/>
      </c>
      <c r="G12" s="5">
        <f>IF(AND(G$3&gt;=1,G$3&lt;=sale_month),-loan*loan_rate/12,0)</f>
        <v/>
      </c>
      <c r="H12" s="5">
        <f>IF(AND(H$3&gt;=1,H$3&lt;=sale_month),-loan*loan_rate/12,0)</f>
        <v/>
      </c>
      <c r="I12" s="5">
        <f>IF(AND(I$3&gt;=1,I$3&lt;=sale_month),-loan*loan_rate/12,0)</f>
        <v/>
      </c>
      <c r="J12" s="5">
        <f>IF(AND(J$3&gt;=1,J$3&lt;=sale_month),-loan*loan_rate/12,0)</f>
        <v/>
      </c>
      <c r="K12" s="5">
        <f>IF(AND(K$3&gt;=1,K$3&lt;=sale_month),-loan*loan_rate/12,0)</f>
        <v/>
      </c>
      <c r="L12" s="5">
        <f>IF(AND(L$3&gt;=1,L$3&lt;=sale_month),-loan*loan_rate/12,0)</f>
        <v/>
      </c>
      <c r="M12" s="5">
        <f>IF(AND(M$3&gt;=1,M$3&lt;=sale_month),-loan*loan_rate/12,0)</f>
        <v/>
      </c>
      <c r="N12" s="5">
        <f>IF(AND(N$3&gt;=1,N$3&lt;=sale_month),-loan*loan_rate/12,0)</f>
        <v/>
      </c>
      <c r="O12" s="5">
        <f>IF(AND(O$3&gt;=1,O$3&lt;=sale_month),-loan*loan_rate/12,0)</f>
        <v/>
      </c>
      <c r="P12" s="5">
        <f>IF(AND(P$3&gt;=1,P$3&lt;=sale_month),-loan*loan_rate/12,0)</f>
        <v/>
      </c>
      <c r="Q12" s="5">
        <f>IF(AND(Q$3&gt;=1,Q$3&lt;=sale_month),-loan*loan_rate/12,0)</f>
        <v/>
      </c>
      <c r="R12" s="5">
        <f>IF(AND(R$3&gt;=1,R$3&lt;=sale_month),-loan*loan_rate/12,0)</f>
        <v/>
      </c>
      <c r="S12" s="5">
        <f>IF(AND(S$3&gt;=1,S$3&lt;=sale_month),-loan*loan_rate/12,0)</f>
        <v/>
      </c>
      <c r="T12" s="5">
        <f>IF(AND(T$3&gt;=1,T$3&lt;=sale_month),-loan*loan_rate/12,0)</f>
        <v/>
      </c>
      <c r="U12" s="5">
        <f>IF(AND(U$3&gt;=1,U$3&lt;=sale_month),-loan*loan_rate/12,0)</f>
        <v/>
      </c>
      <c r="V12" s="5">
        <f>IF(AND(V$3&gt;=1,V$3&lt;=sale_month),-loan*loan_rate/12,0)</f>
        <v/>
      </c>
      <c r="W12" s="5">
        <f>IF(AND(W$3&gt;=1,W$3&lt;=sale_month),-loan*loan_rate/12,0)</f>
        <v/>
      </c>
      <c r="X12" s="5">
        <f>IF(AND(X$3&gt;=1,X$3&lt;=sale_month),-loan*loan_rate/12,0)</f>
        <v/>
      </c>
      <c r="Y12" s="5">
        <f>IF(AND(Y$3&gt;=1,Y$3&lt;=sale_month),-loan*loan_rate/12,0)</f>
        <v/>
      </c>
      <c r="Z12" s="5">
        <f>IF(AND(Z$3&gt;=1,Z$3&lt;=sale_month),-loan*loan_rate/12,0)</f>
        <v/>
      </c>
    </row>
    <row r="13">
      <c r="A13" s="4" t="inlineStr">
        <is>
          <t>Кредит: получен / погашен</t>
        </is>
      </c>
      <c r="B13" s="5">
        <f>IF(B$3=0,loan,0)-IF(B$3=sale_month,loan,0)</f>
        <v/>
      </c>
      <c r="C13" s="5">
        <f>IF(C$3=0,loan,0)-IF(C$3=sale_month,loan,0)</f>
        <v/>
      </c>
      <c r="D13" s="5">
        <f>IF(D$3=0,loan,0)-IF(D$3=sale_month,loan,0)</f>
        <v/>
      </c>
      <c r="E13" s="5">
        <f>IF(E$3=0,loan,0)-IF(E$3=sale_month,loan,0)</f>
        <v/>
      </c>
      <c r="F13" s="5">
        <f>IF(F$3=0,loan,0)-IF(F$3=sale_month,loan,0)</f>
        <v/>
      </c>
      <c r="G13" s="5">
        <f>IF(G$3=0,loan,0)-IF(G$3=sale_month,loan,0)</f>
        <v/>
      </c>
      <c r="H13" s="5">
        <f>IF(H$3=0,loan,0)-IF(H$3=sale_month,loan,0)</f>
        <v/>
      </c>
      <c r="I13" s="5">
        <f>IF(I$3=0,loan,0)-IF(I$3=sale_month,loan,0)</f>
        <v/>
      </c>
      <c r="J13" s="5">
        <f>IF(J$3=0,loan,0)-IF(J$3=sale_month,loan,0)</f>
        <v/>
      </c>
      <c r="K13" s="5">
        <f>IF(K$3=0,loan,0)-IF(K$3=sale_month,loan,0)</f>
        <v/>
      </c>
      <c r="L13" s="5">
        <f>IF(L$3=0,loan,0)-IF(L$3=sale_month,loan,0)</f>
        <v/>
      </c>
      <c r="M13" s="5">
        <f>IF(M$3=0,loan,0)-IF(M$3=sale_month,loan,0)</f>
        <v/>
      </c>
      <c r="N13" s="5">
        <f>IF(N$3=0,loan,0)-IF(N$3=sale_month,loan,0)</f>
        <v/>
      </c>
      <c r="O13" s="5">
        <f>IF(O$3=0,loan,0)-IF(O$3=sale_month,loan,0)</f>
        <v/>
      </c>
      <c r="P13" s="5">
        <f>IF(P$3=0,loan,0)-IF(P$3=sale_month,loan,0)</f>
        <v/>
      </c>
      <c r="Q13" s="5">
        <f>IF(Q$3=0,loan,0)-IF(Q$3=sale_month,loan,0)</f>
        <v/>
      </c>
      <c r="R13" s="5">
        <f>IF(R$3=0,loan,0)-IF(R$3=sale_month,loan,0)</f>
        <v/>
      </c>
      <c r="S13" s="5">
        <f>IF(S$3=0,loan,0)-IF(S$3=sale_month,loan,0)</f>
        <v/>
      </c>
      <c r="T13" s="5">
        <f>IF(T$3=0,loan,0)-IF(T$3=sale_month,loan,0)</f>
        <v/>
      </c>
      <c r="U13" s="5">
        <f>IF(U$3=0,loan,0)-IF(U$3=sale_month,loan,0)</f>
        <v/>
      </c>
      <c r="V13" s="5">
        <f>IF(V$3=0,loan,0)-IF(V$3=sale_month,loan,0)</f>
        <v/>
      </c>
      <c r="W13" s="5">
        <f>IF(W$3=0,loan,0)-IF(W$3=sale_month,loan,0)</f>
        <v/>
      </c>
      <c r="X13" s="5">
        <f>IF(X$3=0,loan,0)-IF(X$3=sale_month,loan,0)</f>
        <v/>
      </c>
      <c r="Y13" s="5">
        <f>IF(Y$3=0,loan,0)-IF(Y$3=sale_month,loan,0)</f>
        <v/>
      </c>
      <c r="Z13" s="5">
        <f>IF(Z$3=0,loan,0)-IF(Z$3=sale_month,loan,0)</f>
        <v/>
      </c>
    </row>
    <row r="14">
      <c r="A14" s="4" t="inlineStr">
        <is>
          <t>Продажа</t>
        </is>
      </c>
      <c r="B14" s="5">
        <f>IF(B$3=sale_month,sale_price,0)</f>
        <v/>
      </c>
      <c r="C14" s="5">
        <f>IF(C$3=sale_month,sale_price,0)</f>
        <v/>
      </c>
      <c r="D14" s="5">
        <f>IF(D$3=sale_month,sale_price,0)</f>
        <v/>
      </c>
      <c r="E14" s="5">
        <f>IF(E$3=sale_month,sale_price,0)</f>
        <v/>
      </c>
      <c r="F14" s="5">
        <f>IF(F$3=sale_month,sale_price,0)</f>
        <v/>
      </c>
      <c r="G14" s="5">
        <f>IF(G$3=sale_month,sale_price,0)</f>
        <v/>
      </c>
      <c r="H14" s="5">
        <f>IF(H$3=sale_month,sale_price,0)</f>
        <v/>
      </c>
      <c r="I14" s="5">
        <f>IF(I$3=sale_month,sale_price,0)</f>
        <v/>
      </c>
      <c r="J14" s="5">
        <f>IF(J$3=sale_month,sale_price,0)</f>
        <v/>
      </c>
      <c r="K14" s="5">
        <f>IF(K$3=sale_month,sale_price,0)</f>
        <v/>
      </c>
      <c r="L14" s="5">
        <f>IF(L$3=sale_month,sale_price,0)</f>
        <v/>
      </c>
      <c r="M14" s="5">
        <f>IF(M$3=sale_month,sale_price,0)</f>
        <v/>
      </c>
      <c r="N14" s="5">
        <f>IF(N$3=sale_month,sale_price,0)</f>
        <v/>
      </c>
      <c r="O14" s="5">
        <f>IF(O$3=sale_month,sale_price,0)</f>
        <v/>
      </c>
      <c r="P14" s="5">
        <f>IF(P$3=sale_month,sale_price,0)</f>
        <v/>
      </c>
      <c r="Q14" s="5">
        <f>IF(Q$3=sale_month,sale_price,0)</f>
        <v/>
      </c>
      <c r="R14" s="5">
        <f>IF(R$3=sale_month,sale_price,0)</f>
        <v/>
      </c>
      <c r="S14" s="5">
        <f>IF(S$3=sale_month,sale_price,0)</f>
        <v/>
      </c>
      <c r="T14" s="5">
        <f>IF(T$3=sale_month,sale_price,0)</f>
        <v/>
      </c>
      <c r="U14" s="5">
        <f>IF(U$3=sale_month,sale_price,0)</f>
        <v/>
      </c>
      <c r="V14" s="5">
        <f>IF(V$3=sale_month,sale_price,0)</f>
        <v/>
      </c>
      <c r="W14" s="5">
        <f>IF(W$3=sale_month,sale_price,0)</f>
        <v/>
      </c>
      <c r="X14" s="5">
        <f>IF(X$3=sale_month,sale_price,0)</f>
        <v/>
      </c>
      <c r="Y14" s="5">
        <f>IF(Y$3=sale_month,sale_price,0)</f>
        <v/>
      </c>
      <c r="Z14" s="5">
        <f>IF(Z$3=sale_month,sale_price,0)</f>
        <v/>
      </c>
    </row>
    <row r="15">
      <c r="A15" s="4" t="inlineStr">
        <is>
          <t>Расходы на продажу</t>
        </is>
      </c>
      <c r="B15" s="5">
        <f>IF(B$3=sale_month,-sale_cost,0)</f>
        <v/>
      </c>
      <c r="C15" s="5">
        <f>IF(C$3=sale_month,-sale_cost,0)</f>
        <v/>
      </c>
      <c r="D15" s="5">
        <f>IF(D$3=sale_month,-sale_cost,0)</f>
        <v/>
      </c>
      <c r="E15" s="5">
        <f>IF(E$3=sale_month,-sale_cost,0)</f>
        <v/>
      </c>
      <c r="F15" s="5">
        <f>IF(F$3=sale_month,-sale_cost,0)</f>
        <v/>
      </c>
      <c r="G15" s="5">
        <f>IF(G$3=sale_month,-sale_cost,0)</f>
        <v/>
      </c>
      <c r="H15" s="5">
        <f>IF(H$3=sale_month,-sale_cost,0)</f>
        <v/>
      </c>
      <c r="I15" s="5">
        <f>IF(I$3=sale_month,-sale_cost,0)</f>
        <v/>
      </c>
      <c r="J15" s="5">
        <f>IF(J$3=sale_month,-sale_cost,0)</f>
        <v/>
      </c>
      <c r="K15" s="5">
        <f>IF(K$3=sale_month,-sale_cost,0)</f>
        <v/>
      </c>
      <c r="L15" s="5">
        <f>IF(L$3=sale_month,-sale_cost,0)</f>
        <v/>
      </c>
      <c r="M15" s="5">
        <f>IF(M$3=sale_month,-sale_cost,0)</f>
        <v/>
      </c>
      <c r="N15" s="5">
        <f>IF(N$3=sale_month,-sale_cost,0)</f>
        <v/>
      </c>
      <c r="O15" s="5">
        <f>IF(O$3=sale_month,-sale_cost,0)</f>
        <v/>
      </c>
      <c r="P15" s="5">
        <f>IF(P$3=sale_month,-sale_cost,0)</f>
        <v/>
      </c>
      <c r="Q15" s="5">
        <f>IF(Q$3=sale_month,-sale_cost,0)</f>
        <v/>
      </c>
      <c r="R15" s="5">
        <f>IF(R$3=sale_month,-sale_cost,0)</f>
        <v/>
      </c>
      <c r="S15" s="5">
        <f>IF(S$3=sale_month,-sale_cost,0)</f>
        <v/>
      </c>
      <c r="T15" s="5">
        <f>IF(T$3=sale_month,-sale_cost,0)</f>
        <v/>
      </c>
      <c r="U15" s="5">
        <f>IF(U$3=sale_month,-sale_cost,0)</f>
        <v/>
      </c>
      <c r="V15" s="5">
        <f>IF(V$3=sale_month,-sale_cost,0)</f>
        <v/>
      </c>
      <c r="W15" s="5">
        <f>IF(W$3=sale_month,-sale_cost,0)</f>
        <v/>
      </c>
      <c r="X15" s="5">
        <f>IF(X$3=sale_month,-sale_cost,0)</f>
        <v/>
      </c>
      <c r="Y15" s="5">
        <f>IF(Y$3=sale_month,-sale_cost,0)</f>
        <v/>
      </c>
      <c r="Z15" s="5">
        <f>IF(Z$3=sale_month,-sale_cost,0)</f>
        <v/>
      </c>
    </row>
    <row r="16">
      <c r="A16" s="6" t="inlineStr">
        <is>
          <t>Поток до налога</t>
        </is>
      </c>
      <c r="B16" s="28">
        <f>SUM(B5:B15)</f>
        <v/>
      </c>
      <c r="C16" s="28">
        <f>SUM(C5:C15)</f>
        <v/>
      </c>
      <c r="D16" s="28">
        <f>SUM(D5:D15)</f>
        <v/>
      </c>
      <c r="E16" s="28">
        <f>SUM(E5:E15)</f>
        <v/>
      </c>
      <c r="F16" s="28">
        <f>SUM(F5:F15)</f>
        <v/>
      </c>
      <c r="G16" s="28">
        <f>SUM(G5:G15)</f>
        <v/>
      </c>
      <c r="H16" s="28">
        <f>SUM(H5:H15)</f>
        <v/>
      </c>
      <c r="I16" s="28">
        <f>SUM(I5:I15)</f>
        <v/>
      </c>
      <c r="J16" s="28">
        <f>SUM(J5:J15)</f>
        <v/>
      </c>
      <c r="K16" s="28">
        <f>SUM(K5:K15)</f>
        <v/>
      </c>
      <c r="L16" s="28">
        <f>SUM(L5:L15)</f>
        <v/>
      </c>
      <c r="M16" s="28">
        <f>SUM(M5:M15)</f>
        <v/>
      </c>
      <c r="N16" s="28">
        <f>SUM(N5:N15)</f>
        <v/>
      </c>
      <c r="O16" s="28">
        <f>SUM(O5:O15)</f>
        <v/>
      </c>
      <c r="P16" s="28">
        <f>SUM(P5:P15)</f>
        <v/>
      </c>
      <c r="Q16" s="28">
        <f>SUM(Q5:Q15)</f>
        <v/>
      </c>
      <c r="R16" s="28">
        <f>SUM(R5:R15)</f>
        <v/>
      </c>
      <c r="S16" s="28">
        <f>SUM(S5:S15)</f>
        <v/>
      </c>
      <c r="T16" s="28">
        <f>SUM(T5:T15)</f>
        <v/>
      </c>
      <c r="U16" s="28">
        <f>SUM(U5:U15)</f>
        <v/>
      </c>
      <c r="V16" s="28">
        <f>SUM(V5:V15)</f>
        <v/>
      </c>
      <c r="W16" s="28">
        <f>SUM(W5:W15)</f>
        <v/>
      </c>
      <c r="X16" s="28">
        <f>SUM(X5:X15)</f>
        <v/>
      </c>
      <c r="Y16" s="28">
        <f>SUM(Y5:Y15)</f>
        <v/>
      </c>
      <c r="Z16" s="28">
        <f>SUM(Z5:Z15)</f>
        <v/>
      </c>
    </row>
    <row r="17">
      <c r="A17" s="6" t="inlineStr">
        <is>
          <t>Накопленный поток</t>
        </is>
      </c>
      <c r="B17" s="28">
        <f>B16</f>
        <v/>
      </c>
      <c r="C17" s="28">
        <f>B17+C16</f>
        <v/>
      </c>
      <c r="D17" s="28">
        <f>C17+D16</f>
        <v/>
      </c>
      <c r="E17" s="28">
        <f>D17+E16</f>
        <v/>
      </c>
      <c r="F17" s="28">
        <f>E17+F16</f>
        <v/>
      </c>
      <c r="G17" s="28">
        <f>F17+G16</f>
        <v/>
      </c>
      <c r="H17" s="28">
        <f>G17+H16</f>
        <v/>
      </c>
      <c r="I17" s="28">
        <f>H17+I16</f>
        <v/>
      </c>
      <c r="J17" s="28">
        <f>I17+J16</f>
        <v/>
      </c>
      <c r="K17" s="28">
        <f>J17+K16</f>
        <v/>
      </c>
      <c r="L17" s="28">
        <f>K17+L16</f>
        <v/>
      </c>
      <c r="M17" s="28">
        <f>L17+M16</f>
        <v/>
      </c>
      <c r="N17" s="28">
        <f>M17+N16</f>
        <v/>
      </c>
      <c r="O17" s="28">
        <f>N17+O16</f>
        <v/>
      </c>
      <c r="P17" s="28">
        <f>O17+P16</f>
        <v/>
      </c>
      <c r="Q17" s="28">
        <f>P17+Q16</f>
        <v/>
      </c>
      <c r="R17" s="28">
        <f>Q17+R16</f>
        <v/>
      </c>
      <c r="S17" s="28">
        <f>R17+S16</f>
        <v/>
      </c>
      <c r="T17" s="28">
        <f>S17+T16</f>
        <v/>
      </c>
      <c r="U17" s="28">
        <f>T17+U16</f>
        <v/>
      </c>
      <c r="V17" s="28">
        <f>U17+V16</f>
        <v/>
      </c>
      <c r="W17" s="28">
        <f>V17+W16</f>
        <v/>
      </c>
      <c r="X17" s="28">
        <f>W17+X16</f>
        <v/>
      </c>
      <c r="Y17" s="28">
        <f>X17+Y16</f>
        <v/>
      </c>
      <c r="Z17" s="28">
        <f>Y17+Z16</f>
        <v/>
      </c>
    </row>
    <row r="18">
      <c r="A18" s="4" t="inlineStr">
        <is>
          <t>Налог на прибыль</t>
        </is>
      </c>
      <c r="B18" s="5">
        <f>IF(B$3=sale_month,-vpb,0)</f>
        <v/>
      </c>
      <c r="C18" s="5">
        <f>IF(C$3=sale_month,-vpb,0)</f>
        <v/>
      </c>
      <c r="D18" s="5">
        <f>IF(D$3=sale_month,-vpb,0)</f>
        <v/>
      </c>
      <c r="E18" s="5">
        <f>IF(E$3=sale_month,-vpb,0)</f>
        <v/>
      </c>
      <c r="F18" s="5">
        <f>IF(F$3=sale_month,-vpb,0)</f>
        <v/>
      </c>
      <c r="G18" s="5">
        <f>IF(G$3=sale_month,-vpb,0)</f>
        <v/>
      </c>
      <c r="H18" s="5">
        <f>IF(H$3=sale_month,-vpb,0)</f>
        <v/>
      </c>
      <c r="I18" s="5">
        <f>IF(I$3=sale_month,-vpb,0)</f>
        <v/>
      </c>
      <c r="J18" s="5">
        <f>IF(J$3=sale_month,-vpb,0)</f>
        <v/>
      </c>
      <c r="K18" s="5">
        <f>IF(K$3=sale_month,-vpb,0)</f>
        <v/>
      </c>
      <c r="L18" s="5">
        <f>IF(L$3=sale_month,-vpb,0)</f>
        <v/>
      </c>
      <c r="M18" s="5">
        <f>IF(M$3=sale_month,-vpb,0)</f>
        <v/>
      </c>
      <c r="N18" s="5">
        <f>IF(N$3=sale_month,-vpb,0)</f>
        <v/>
      </c>
      <c r="O18" s="5">
        <f>IF(O$3=sale_month,-vpb,0)</f>
        <v/>
      </c>
      <c r="P18" s="5">
        <f>IF(P$3=sale_month,-vpb,0)</f>
        <v/>
      </c>
      <c r="Q18" s="5">
        <f>IF(Q$3=sale_month,-vpb,0)</f>
        <v/>
      </c>
      <c r="R18" s="5">
        <f>IF(R$3=sale_month,-vpb,0)</f>
        <v/>
      </c>
      <c r="S18" s="5">
        <f>IF(S$3=sale_month,-vpb,0)</f>
        <v/>
      </c>
      <c r="T18" s="5">
        <f>IF(T$3=sale_month,-vpb,0)</f>
        <v/>
      </c>
      <c r="U18" s="5">
        <f>IF(U$3=sale_month,-vpb,0)</f>
        <v/>
      </c>
      <c r="V18" s="5">
        <f>IF(V$3=sale_month,-vpb,0)</f>
        <v/>
      </c>
      <c r="W18" s="5">
        <f>IF(W$3=sale_month,-vpb,0)</f>
        <v/>
      </c>
      <c r="X18" s="5">
        <f>IF(X$3=sale_month,-vpb,0)</f>
        <v/>
      </c>
      <c r="Y18" s="5">
        <f>IF(Y$3=sale_month,-vpb,0)</f>
        <v/>
      </c>
      <c r="Z18" s="5">
        <f>IF(Z$3=sale_month,-vpb,0)</f>
        <v/>
      </c>
    </row>
    <row r="19">
      <c r="A19" s="6" t="inlineStr">
        <is>
          <t>Поток после налога</t>
        </is>
      </c>
      <c r="B19" s="28">
        <f>B16+B18</f>
        <v/>
      </c>
      <c r="C19" s="28">
        <f>C16+C18</f>
        <v/>
      </c>
      <c r="D19" s="28">
        <f>D16+D18</f>
        <v/>
      </c>
      <c r="E19" s="28">
        <f>E16+E18</f>
        <v/>
      </c>
      <c r="F19" s="28">
        <f>F16+F18</f>
        <v/>
      </c>
      <c r="G19" s="28">
        <f>G16+G18</f>
        <v/>
      </c>
      <c r="H19" s="28">
        <f>H16+H18</f>
        <v/>
      </c>
      <c r="I19" s="28">
        <f>I16+I18</f>
        <v/>
      </c>
      <c r="J19" s="28">
        <f>J16+J18</f>
        <v/>
      </c>
      <c r="K19" s="28">
        <f>K16+K18</f>
        <v/>
      </c>
      <c r="L19" s="28">
        <f>L16+L18</f>
        <v/>
      </c>
      <c r="M19" s="28">
        <f>M16+M18</f>
        <v/>
      </c>
      <c r="N19" s="28">
        <f>N16+N18</f>
        <v/>
      </c>
      <c r="O19" s="28">
        <f>O16+O18</f>
        <v/>
      </c>
      <c r="P19" s="28">
        <f>P16+P18</f>
        <v/>
      </c>
      <c r="Q19" s="28">
        <f>Q16+Q18</f>
        <v/>
      </c>
      <c r="R19" s="28">
        <f>R16+R18</f>
        <v/>
      </c>
      <c r="S19" s="28">
        <f>S16+S18</f>
        <v/>
      </c>
      <c r="T19" s="28">
        <f>T16+T18</f>
        <v/>
      </c>
      <c r="U19" s="28">
        <f>U16+U18</f>
        <v/>
      </c>
      <c r="V19" s="28">
        <f>V16+V18</f>
        <v/>
      </c>
      <c r="W19" s="28">
        <f>W16+W18</f>
        <v/>
      </c>
      <c r="X19" s="28">
        <f>X16+X18</f>
        <v/>
      </c>
      <c r="Y19" s="28">
        <f>Y16+Y18</f>
        <v/>
      </c>
      <c r="Z19" s="28">
        <f>Z16+Z18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Аренда по частям помещения</t>
        </is>
      </c>
    </row>
    <row r="2">
      <c r="A2" s="2" t="inlineStr">
        <is>
          <t>Ставки — по объявлениям на funda in business, 20.10.2026; без НДС</t>
        </is>
      </c>
    </row>
    <row r="4">
      <c r="A4" s="20" t="inlineStr">
        <is>
          <t>Часть</t>
        </is>
      </c>
      <c r="B4" s="21" t="inlineStr">
        <is>
          <t>м²</t>
        </is>
      </c>
      <c r="C4" s="21" t="inlineStr">
        <is>
          <t>€ за м² в год</t>
        </is>
      </c>
      <c r="D4" s="21" t="inlineStr">
        <is>
          <t>Аренда в год</t>
        </is>
      </c>
      <c r="E4" s="21" t="inlineStr">
        <is>
          <t>Основание ставки</t>
        </is>
      </c>
    </row>
    <row r="5">
      <c r="A5" t="inlineStr">
        <is>
          <t>Производственное помещение, первый этаж, высота 3,7 м</t>
        </is>
      </c>
      <c r="B5" s="29" t="n">
        <v>96.5</v>
      </c>
      <c r="C5" s="15" t="n">
        <v>135</v>
      </c>
      <c r="D5" s="5">
        <f>B5*C5</f>
        <v/>
      </c>
      <c r="E5" s="2" t="inlineStr">
        <is>
          <t>ворота, пол до 2.000 кг/м²</t>
        </is>
      </c>
    </row>
    <row r="6">
      <c r="A6" t="inlineStr">
        <is>
          <t>Офис или мастерская, второй этаж, высота 3 м</t>
        </is>
      </c>
      <c r="B6" s="29" t="n">
        <v>96.5</v>
      </c>
      <c r="C6" s="15" t="n">
        <v>165</v>
      </c>
      <c r="D6" s="5">
        <f>B6*C6</f>
        <v/>
      </c>
      <c r="E6" s="2" t="inlineStr">
        <is>
          <t>юниты 307-P и 307-R — € 159 и € 176</t>
        </is>
      </c>
    </row>
    <row r="7">
      <c r="A7" s="6" t="inlineStr">
        <is>
          <t>Итого</t>
        </is>
      </c>
      <c r="B7" s="29">
        <f>SUM(B5:B6)</f>
        <v/>
      </c>
      <c r="C7" s="9">
        <f>D7/B7</f>
        <v/>
      </c>
      <c r="D7" s="28">
        <f>SUM(D5:D6)</f>
        <v/>
      </c>
    </row>
    <row r="9">
      <c r="A9" s="6" t="inlineStr">
        <is>
          <t>Аренда с учётом сценария</t>
        </is>
      </c>
      <c r="D9" s="5">
        <f>rent_base*rent_mult</f>
        <v/>
      </c>
    </row>
    <row r="10">
      <c r="A10" t="inlineStr">
        <is>
          <t>К цене продавца</t>
        </is>
      </c>
      <c r="D10" s="12">
        <f>rent_eff/ask</f>
        <v/>
      </c>
    </row>
    <row r="11">
      <c r="A11" t="inlineStr">
        <is>
          <t>К цене покупки</t>
        </is>
      </c>
      <c r="D11" s="12">
        <f>rent_eff/buy_price</f>
        <v/>
      </c>
    </row>
    <row r="14">
      <c r="A14" s="3" t="inlineStr">
        <is>
          <t>Аренда новых бизнес-юнитов у Схипхол-Рейка, € за м² в год</t>
        </is>
      </c>
    </row>
    <row r="15">
      <c r="A15" s="20" t="inlineStr">
        <is>
          <t>Объект</t>
        </is>
      </c>
      <c r="B15" s="21" t="inlineStr"/>
      <c r="C15" s="21" t="inlineStr">
        <is>
          <t>€ за м² в год</t>
        </is>
      </c>
      <c r="D15" s="21" t="inlineStr"/>
      <c r="E15" s="21" t="inlineStr">
        <is>
          <t>Что за помещение</t>
        </is>
      </c>
    </row>
    <row r="16">
      <c r="A16" t="inlineStr">
        <is>
          <t>Boeingavenue 303-F, Схипхол-Рейк</t>
        </is>
      </c>
      <c r="C16" s="9" t="n">
        <v>211.1</v>
      </c>
      <c r="E16" s="2" t="inlineStr">
        <is>
          <t>108 м², 2026</t>
        </is>
      </c>
    </row>
    <row r="17">
      <c r="A17" t="inlineStr">
        <is>
          <t>Boeingavenue 307-R, тот же проект</t>
        </is>
      </c>
      <c r="C17" s="9" t="n">
        <v>175.7</v>
      </c>
      <c r="E17" s="2" t="inlineStr">
        <is>
          <t>140 м², 2025</t>
        </is>
      </c>
    </row>
    <row r="18">
      <c r="A18" t="inlineStr">
        <is>
          <t>Lakenblekerstraat 21-A1, Алсмер</t>
        </is>
      </c>
      <c r="C18" s="9" t="n">
        <v>166.7</v>
      </c>
      <c r="E18" s="2" t="inlineStr">
        <is>
          <t>216 м², 2025</t>
        </is>
      </c>
    </row>
    <row r="19">
      <c r="A19" t="inlineStr">
        <is>
          <t>Boeingavenue 307-P, тот же проект</t>
        </is>
      </c>
      <c r="C19" s="9" t="n">
        <v>158.6</v>
      </c>
      <c r="E19" s="2" t="inlineStr">
        <is>
          <t>140 м², 2025</t>
        </is>
      </c>
    </row>
    <row r="20">
      <c r="A20" t="inlineStr">
        <is>
          <t>Lakenblekerstraat 21-B2, Алсмер</t>
        </is>
      </c>
      <c r="C20" s="9" t="n">
        <v>149.3</v>
      </c>
      <c r="E20" s="2" t="inlineStr">
        <is>
          <t>221 м², 2025</t>
        </is>
      </c>
    </row>
    <row r="21">
      <c r="A21" t="inlineStr">
        <is>
          <t>Zuid-Afrikaweg 3-N, Алсмер</t>
        </is>
      </c>
      <c r="C21" s="9" t="n">
        <v>134.2</v>
      </c>
      <c r="E21" s="2" t="inlineStr">
        <is>
          <t>161 м², 2022</t>
        </is>
      </c>
    </row>
    <row r="22">
      <c r="A22" t="inlineStr">
        <is>
          <t>Boeingavenue 303-A, Схипхол-Рейк</t>
        </is>
      </c>
      <c r="C22" s="9" t="n">
        <v>117</v>
      </c>
      <c r="E22" s="2" t="inlineStr">
        <is>
          <t>200 м², 2020</t>
        </is>
      </c>
    </row>
    <row r="23">
      <c r="A23" t="inlineStr">
        <is>
          <t>Boeingavenue 307-N — наша оценка</t>
        </is>
      </c>
      <c r="C23" s="9" t="n">
        <v>150</v>
      </c>
      <c r="E23" s="2" t="inlineStr">
        <is>
          <t>193 м², средняя по двум этажам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Сценарии и цена покупки</t>
        </is>
      </c>
    </row>
    <row r="2">
      <c r="A2" s="2" t="inlineStr">
        <is>
          <t>Рассчитано той же моделью; активный сценарий переключается на листе «Допущения»</t>
        </is>
      </c>
    </row>
    <row r="4">
      <c r="A4" s="20" t="inlineStr">
        <is>
          <t>Показатель</t>
        </is>
      </c>
      <c r="B4" s="21" t="inlineStr">
        <is>
          <t>Пессимистичный</t>
        </is>
      </c>
      <c r="C4" s="21" t="inlineStr">
        <is>
          <t>Базовый</t>
        </is>
      </c>
      <c r="D4" s="21" t="inlineStr">
        <is>
          <t>Оптимистичный</t>
        </is>
      </c>
      <c r="E4" s="21" t="inlineStr">
        <is>
          <t>Поздняя продажа</t>
        </is>
      </c>
    </row>
    <row r="5">
      <c r="A5" t="inlineStr">
        <is>
          <t>Аренда в год</t>
        </is>
      </c>
      <c r="B5" s="5" t="n">
        <v>26055</v>
      </c>
      <c r="C5" s="5" t="n">
        <v>28950</v>
      </c>
      <c r="D5" s="5" t="n">
        <v>31845</v>
      </c>
      <c r="E5" s="5" t="n">
        <v>28950</v>
      </c>
    </row>
    <row r="6">
      <c r="A6" t="inlineStr">
        <is>
          <t>Доходность для инвестора</t>
        </is>
      </c>
      <c r="B6" s="12" t="n">
        <v>0.07999999999999999</v>
      </c>
      <c r="C6" s="12" t="n">
        <v>0.0725</v>
      </c>
      <c r="D6" s="12" t="n">
        <v>0.06749999999999999</v>
      </c>
      <c r="E6" s="12" t="n">
        <v>0.0725</v>
      </c>
    </row>
    <row r="7">
      <c r="A7" t="inlineStr">
        <is>
          <t>Месяц въезда арендатора</t>
        </is>
      </c>
      <c r="B7" s="8" t="n">
        <v>5</v>
      </c>
      <c r="C7" s="8" t="n">
        <v>3</v>
      </c>
      <c r="D7" s="8" t="n">
        <v>2</v>
      </c>
      <c r="E7" s="8" t="n">
        <v>3</v>
      </c>
    </row>
    <row r="8">
      <c r="A8" t="inlineStr">
        <is>
          <t>Месяц продажи</t>
        </is>
      </c>
      <c r="B8" s="8" t="n">
        <v>10</v>
      </c>
      <c r="C8" s="8" t="n">
        <v>7</v>
      </c>
      <c r="D8" s="8" t="n">
        <v>6</v>
      </c>
      <c r="E8" s="8" t="n">
        <v>12</v>
      </c>
    </row>
    <row r="9">
      <c r="A9" t="inlineStr">
        <is>
          <t>Цена продажи</t>
        </is>
      </c>
      <c r="B9" s="5" t="n">
        <v>325687.5000000001</v>
      </c>
      <c r="C9" s="5" t="n">
        <v>399310.3448275863</v>
      </c>
      <c r="D9" s="5" t="n">
        <v>471777.7777777779</v>
      </c>
      <c r="E9" s="5" t="n">
        <v>361694.1529235382</v>
      </c>
    </row>
    <row r="10">
      <c r="A10" t="inlineStr">
        <is>
          <t>Все затраты</t>
        </is>
      </c>
      <c r="B10" s="5" t="n">
        <v>364105.6770833333</v>
      </c>
      <c r="C10" s="5" t="n">
        <v>364663.7126436781</v>
      </c>
      <c r="D10" s="5" t="n">
        <v>365722.2222222222</v>
      </c>
      <c r="E10" s="5" t="n">
        <v>365360.1769115442</v>
      </c>
    </row>
    <row r="11">
      <c r="A11" t="inlineStr">
        <is>
          <t>Прибыль до налога</t>
        </is>
      </c>
      <c r="B11" s="5" t="n">
        <v>-31904.42708333326</v>
      </c>
      <c r="C11" s="5" t="n">
        <v>41884.13218390814</v>
      </c>
      <c r="D11" s="5" t="n">
        <v>114016.8055555556</v>
      </c>
      <c r="E11" s="5" t="n">
        <v>15633.976011994</v>
      </c>
    </row>
    <row r="12">
      <c r="A12" t="inlineStr">
        <is>
          <t>Заработок на € 100 затрат</t>
        </is>
      </c>
      <c r="B12" s="9" t="n">
        <v>-8.76240857843896</v>
      </c>
      <c r="C12" s="9" t="n">
        <v>11.48568687579676</v>
      </c>
      <c r="D12" s="9" t="n">
        <v>31.175793711074</v>
      </c>
      <c r="E12" s="9" t="n">
        <v>4.279058583820173</v>
      </c>
    </row>
    <row r="13">
      <c r="A13" t="inlineStr">
        <is>
          <t>Прибыль после налога</t>
        </is>
      </c>
      <c r="B13" s="5" t="n">
        <v>-31904.42708333326</v>
      </c>
      <c r="C13" s="5" t="n">
        <v>33926.14706896559</v>
      </c>
      <c r="D13" s="5" t="n">
        <v>92353.61250000005</v>
      </c>
      <c r="E13" s="5" t="n">
        <v>12663.52056971514</v>
      </c>
    </row>
    <row r="14">
      <c r="A14" t="inlineStr">
        <is>
          <t>Вложено своих денег на пике</t>
        </is>
      </c>
      <c r="B14" s="5" t="n">
        <v>391081.5833333333</v>
      </c>
      <c r="C14" s="5" t="n">
        <v>391081.5833333333</v>
      </c>
      <c r="D14" s="5" t="n">
        <v>391081.5833333333</v>
      </c>
      <c r="E14" s="5" t="n">
        <v>391081.5833333333</v>
      </c>
    </row>
    <row r="15">
      <c r="A15" t="inlineStr">
        <is>
          <t>Прибыль на свои деньги после налога</t>
        </is>
      </c>
      <c r="B15" s="10" t="n">
        <v>-0.08157997830375953</v>
      </c>
      <c r="C15" s="10" t="n">
        <v>0.08674953900871644</v>
      </c>
      <c r="D15" s="10" t="n">
        <v>0.2361492241921391</v>
      </c>
      <c r="E15" s="10" t="n">
        <v>0.03238076429418962</v>
      </c>
    </row>
    <row r="16">
      <c r="A16" t="inlineStr">
        <is>
          <t>В пересчёте на год после налога (IRR)</t>
        </is>
      </c>
      <c r="B16" s="10" t="n">
        <v>-0.1057459548427206</v>
      </c>
      <c r="C16" s="10" t="n">
        <v>0.1662025967403082</v>
      </c>
      <c r="D16" s="10" t="n">
        <v>0.5721633107030291</v>
      </c>
      <c r="E16" s="10" t="n">
        <v>0.03568477880103127</v>
      </c>
    </row>
    <row r="19">
      <c r="A19" s="3" t="inlineStr">
        <is>
          <t>Цена покупки и прибыль (базовые допущения)</t>
        </is>
      </c>
    </row>
    <row r="20">
      <c r="A20" s="20" t="inlineStr">
        <is>
          <t>Цена покупки</t>
        </is>
      </c>
      <c r="B20" s="21" t="inlineStr">
        <is>
          <t>К цене продавца</t>
        </is>
      </c>
      <c r="C20" s="21" t="inlineStr">
        <is>
          <t>€ за м²</t>
        </is>
      </c>
      <c r="D20" s="21" t="inlineStr">
        <is>
          <t>Прибыль, 7 месяцев</t>
        </is>
      </c>
      <c r="E20" s="21" t="inlineStr">
        <is>
          <t>На € 100 затрат, 7 месяцев</t>
        </is>
      </c>
      <c r="F20" s="21" t="inlineStr">
        <is>
          <t>В год, 7 месяцев</t>
        </is>
      </c>
      <c r="G20" s="21" t="inlineStr">
        <is>
          <t>Прибыль, 12 месяцев</t>
        </is>
      </c>
      <c r="H20" s="21" t="inlineStr">
        <is>
          <t>На € 100 затрат, 12 месяцев</t>
        </is>
      </c>
      <c r="I20" s="21" t="inlineStr">
        <is>
          <t>В год, 12 месяцев</t>
        </is>
      </c>
    </row>
    <row r="21">
      <c r="A21" s="5" t="n">
        <v>360000</v>
      </c>
      <c r="B21" s="30" t="n">
        <v>0</v>
      </c>
      <c r="C21" s="5" t="n">
        <v>1865.284974093264</v>
      </c>
      <c r="D21" s="5" t="n">
        <v>-18925.86781609186</v>
      </c>
      <c r="E21" s="9" t="n">
        <v>-4.448187338883079</v>
      </c>
      <c r="F21" s="10" t="n">
        <v>-0.07504027111129374</v>
      </c>
      <c r="G21" s="5" t="n">
        <v>-45326.023988006</v>
      </c>
      <c r="H21" s="9" t="n">
        <v>-10.63192089953803</v>
      </c>
      <c r="I21" s="10" t="n">
        <v>-0.1086410590525528</v>
      </c>
    </row>
    <row r="22">
      <c r="A22" s="5" t="n">
        <v>341326.2281044974</v>
      </c>
      <c r="B22" s="30" t="n">
        <v>-0.05187158859861829</v>
      </c>
      <c r="C22" s="5" t="n">
        <v>1768.529679297914</v>
      </c>
      <c r="D22" s="5" t="n">
        <v>0</v>
      </c>
      <c r="E22" s="9" t="n">
        <v>0</v>
      </c>
      <c r="F22" s="10" t="n">
        <v>0</v>
      </c>
      <c r="G22" s="5" t="n">
        <v>-26353.47174217534</v>
      </c>
      <c r="H22" s="9" t="n">
        <v>-6.469528762761806</v>
      </c>
      <c r="I22" s="10" t="n">
        <v>-0.06624252962235988</v>
      </c>
    </row>
    <row r="23">
      <c r="A23" s="5" t="n">
        <v>340000</v>
      </c>
      <c r="B23" s="30" t="n">
        <v>-0.05555555555555558</v>
      </c>
      <c r="C23" s="5" t="n">
        <v>1761.658031088083</v>
      </c>
      <c r="D23" s="5" t="n">
        <v>1344.132183908136</v>
      </c>
      <c r="E23" s="9" t="n">
        <v>0.3317176378120005</v>
      </c>
      <c r="F23" s="10" t="n">
        <v>0.005707358514009497</v>
      </c>
      <c r="G23" s="5" t="n">
        <v>-25006.023988006</v>
      </c>
      <c r="H23" s="9" t="n">
        <v>-6.159116525078286</v>
      </c>
      <c r="I23" s="10" t="n">
        <v>-0.06307382477088019</v>
      </c>
    </row>
    <row r="24">
      <c r="A24" s="5" t="n">
        <v>325000</v>
      </c>
      <c r="B24" s="30" t="n">
        <v>-0.09722222222222221</v>
      </c>
      <c r="C24" s="5" t="n">
        <v>1683.937823834197</v>
      </c>
      <c r="D24" s="5" t="n">
        <v>16546.63218390814</v>
      </c>
      <c r="E24" s="9" t="n">
        <v>4.24271300895309</v>
      </c>
      <c r="F24" s="10" t="n">
        <v>0.074168294783169</v>
      </c>
      <c r="G24" s="5" t="n">
        <v>-9766.023988005996</v>
      </c>
      <c r="H24" s="9" t="n">
        <v>-2.499237272639662</v>
      </c>
      <c r="I24" s="10" t="n">
        <v>-0.0256406702047437</v>
      </c>
    </row>
    <row r="25">
      <c r="A25" s="5" t="n">
        <v>304859.6321653499</v>
      </c>
      <c r="B25" s="30" t="n">
        <v>-0.1531676884295836</v>
      </c>
      <c r="C25" s="5" t="n">
        <v>1579.583586348963</v>
      </c>
      <c r="D25" s="5" t="n">
        <v>36958.89498432598</v>
      </c>
      <c r="E25" s="9" t="n">
        <v>9.999999999999986</v>
      </c>
      <c r="F25" s="10" t="n">
        <v>0.1788969572916541</v>
      </c>
      <c r="G25" s="5" t="n">
        <v>10696.58973199851</v>
      </c>
      <c r="H25" s="9" t="n">
        <v>2.888647076099067</v>
      </c>
      <c r="I25" s="10" t="n">
        <v>0.02971697972100884</v>
      </c>
    </row>
    <row r="26">
      <c r="A26" s="31" t="n">
        <v>300000</v>
      </c>
      <c r="B26" s="32" t="n">
        <v>-0.1666666666666666</v>
      </c>
      <c r="C26" s="31" t="n">
        <v>1554.40414507772</v>
      </c>
      <c r="D26" s="31" t="n">
        <v>41884.13218390814</v>
      </c>
      <c r="E26" s="33" t="n">
        <v>11.48568687579676</v>
      </c>
      <c r="F26" s="34" t="n">
        <v>0.2066911563195943</v>
      </c>
      <c r="G26" s="31" t="n">
        <v>15633.976011994</v>
      </c>
      <c r="H26" s="33" t="n">
        <v>4.279058583820173</v>
      </c>
      <c r="I26" s="34" t="n">
        <v>0.04405239307481956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Что будет, если расчёт не сойдётся</t>
        </is>
      </c>
    </row>
    <row r="2">
      <c r="A2" s="2" t="inlineStr">
        <is>
          <t>Покупка за € 300.000, продажа на 7-м месяце; меняется одно допущение</t>
        </is>
      </c>
    </row>
    <row r="4">
      <c r="A4" s="3" t="inlineStr">
        <is>
          <t>Если инвестор захочет другую доходность</t>
        </is>
      </c>
    </row>
    <row r="5">
      <c r="A5" s="20" t="inlineStr">
        <is>
          <t>Инвестор хочет получать в год</t>
        </is>
      </c>
      <c r="B5" s="21" t="inlineStr">
        <is>
          <t>Значит, заплатит</t>
        </is>
      </c>
      <c r="C5" s="21" t="inlineStr">
        <is>
          <t>Наша прибыль</t>
        </is>
      </c>
    </row>
    <row r="6">
      <c r="A6" s="12" t="n">
        <v>0.065</v>
      </c>
      <c r="B6" s="5" t="n">
        <v>445384.6153846154</v>
      </c>
      <c r="C6" s="5" t="n">
        <v>87382.47435897437</v>
      </c>
    </row>
    <row r="7">
      <c r="A7" s="12" t="n">
        <v>0.0675</v>
      </c>
      <c r="B7" s="5" t="n">
        <v>428888.8888888889</v>
      </c>
      <c r="C7" s="5" t="n">
        <v>71092.94444444444</v>
      </c>
    </row>
    <row r="8">
      <c r="A8" s="12" t="n">
        <v>0.07000000000000001</v>
      </c>
      <c r="B8" s="5" t="n">
        <v>413571.4285714285</v>
      </c>
      <c r="C8" s="5" t="n">
        <v>55966.95238095237</v>
      </c>
    </row>
    <row r="9">
      <c r="A9" s="35" t="n">
        <v>0.0725</v>
      </c>
      <c r="B9" s="7" t="n">
        <v>399310.3448275863</v>
      </c>
      <c r="C9" s="7" t="n">
        <v>41884.13218390814</v>
      </c>
    </row>
    <row r="10">
      <c r="A10" s="12" t="n">
        <v>0.075</v>
      </c>
      <c r="B10" s="5" t="n">
        <v>386000</v>
      </c>
      <c r="C10" s="5" t="n">
        <v>28740.16666666669</v>
      </c>
    </row>
    <row r="11">
      <c r="A11" s="12" t="n">
        <v>0.0775</v>
      </c>
      <c r="B11" s="5" t="n">
        <v>373548.3870967742</v>
      </c>
      <c r="C11" s="5" t="n">
        <v>16444.19892473117</v>
      </c>
    </row>
    <row r="12">
      <c r="A12" s="12" t="n">
        <v>0.08</v>
      </c>
      <c r="B12" s="5" t="n">
        <v>361875</v>
      </c>
      <c r="C12" s="5" t="n">
        <v>4916.729166666686</v>
      </c>
    </row>
    <row r="14">
      <c r="A14" s="3" t="inlineStr">
        <is>
          <t>Если аренда окажется другой</t>
        </is>
      </c>
    </row>
    <row r="15">
      <c r="A15" s="20" t="inlineStr">
        <is>
          <t>Аренда к нашей оценке</t>
        </is>
      </c>
      <c r="B15" s="21" t="inlineStr">
        <is>
          <t>Аренда в год</t>
        </is>
      </c>
      <c r="C15" s="21" t="inlineStr">
        <is>
          <t>Инвестор заплатит</t>
        </is>
      </c>
      <c r="D15" s="21" t="inlineStr">
        <is>
          <t>Наша прибыль</t>
        </is>
      </c>
    </row>
    <row r="16">
      <c r="A16" s="30" t="n">
        <v>-0.15</v>
      </c>
      <c r="B16" s="5" t="n">
        <v>24607.5</v>
      </c>
      <c r="C16" s="5" t="n">
        <v>339413.7931034483</v>
      </c>
      <c r="D16" s="5" t="n">
        <v>-17697.96264367813</v>
      </c>
    </row>
    <row r="17">
      <c r="A17" s="30" t="n">
        <v>-0.09999999999999998</v>
      </c>
      <c r="B17" s="5" t="n">
        <v>26055</v>
      </c>
      <c r="C17" s="5" t="n">
        <v>359379.3103448276</v>
      </c>
      <c r="D17" s="5" t="n">
        <v>2162.735632183962</v>
      </c>
    </row>
    <row r="18">
      <c r="A18" s="30" t="n">
        <v>-0.05000000000000004</v>
      </c>
      <c r="B18" s="5" t="n">
        <v>27502.5</v>
      </c>
      <c r="C18" s="5" t="n">
        <v>379344.8275862069</v>
      </c>
      <c r="D18" s="5" t="n">
        <v>22023.43390804599</v>
      </c>
    </row>
    <row r="19">
      <c r="A19" s="36" t="n">
        <v>0</v>
      </c>
      <c r="B19" s="7" t="n">
        <v>28950</v>
      </c>
      <c r="C19" s="7" t="n">
        <v>399310.3448275863</v>
      </c>
      <c r="D19" s="7" t="n">
        <v>41884.13218390814</v>
      </c>
    </row>
    <row r="20">
      <c r="A20" s="30" t="n">
        <v>0.05000000000000004</v>
      </c>
      <c r="B20" s="5" t="n">
        <v>30397.5</v>
      </c>
      <c r="C20" s="5" t="n">
        <v>419275.8620689656</v>
      </c>
      <c r="D20" s="5" t="n">
        <v>61744.83045977016</v>
      </c>
    </row>
    <row r="21">
      <c r="A21" s="30" t="n">
        <v>0.1000000000000001</v>
      </c>
      <c r="B21" s="5" t="n">
        <v>31845</v>
      </c>
      <c r="C21" s="5" t="n">
        <v>439241.379310345</v>
      </c>
      <c r="D21" s="5" t="n">
        <v>81605.52873563237</v>
      </c>
    </row>
    <row r="22">
      <c r="A22" s="30" t="n">
        <v>0.1499999999999999</v>
      </c>
      <c r="B22" s="5" t="n">
        <v>33292.5</v>
      </c>
      <c r="C22" s="5" t="n">
        <v>459206.8965517242</v>
      </c>
      <c r="D22" s="5" t="n">
        <v>101466.2270114943</v>
      </c>
    </row>
    <row r="24">
      <c r="A24" s="3" t="inlineStr">
        <is>
          <t>Месяц въезда арендатора (строки) и месяц продажи (столбцы): прибыль до налога</t>
        </is>
      </c>
    </row>
    <row r="25">
      <c r="A25" s="20" t="inlineStr">
        <is>
          <t>Въезд \ продажа</t>
        </is>
      </c>
      <c r="B25" s="37" t="n">
        <v>6</v>
      </c>
      <c r="C25" s="37" t="n">
        <v>7</v>
      </c>
      <c r="D25" s="37" t="n">
        <v>8</v>
      </c>
      <c r="E25" s="37" t="n">
        <v>10</v>
      </c>
      <c r="F25" s="37" t="n">
        <v>12</v>
      </c>
    </row>
    <row r="26">
      <c r="A26" s="25" t="n">
        <v>2</v>
      </c>
      <c r="B26" s="5" t="n">
        <v>42165.71551724145</v>
      </c>
      <c r="C26" s="5" t="n">
        <v>44344.88218390814</v>
      </c>
      <c r="D26" s="5" t="n">
        <v>9378.059345327318</v>
      </c>
      <c r="E26" s="5" t="n">
        <v>13736.39267866069</v>
      </c>
      <c r="F26" s="5" t="n">
        <v>18094.726011994</v>
      </c>
    </row>
    <row r="27">
      <c r="A27" s="25" t="n">
        <v>3</v>
      </c>
      <c r="B27" s="5" t="n">
        <v>39704.96551724145</v>
      </c>
      <c r="C27" s="5" t="n">
        <v>41884.13218390814</v>
      </c>
      <c r="D27" s="5" t="n">
        <v>44063.29885057476</v>
      </c>
      <c r="E27" s="5" t="n">
        <v>11275.64267866069</v>
      </c>
      <c r="F27" s="5" t="n">
        <v>15633.976011994</v>
      </c>
    </row>
    <row r="28">
      <c r="A28" s="25" t="n">
        <v>5</v>
      </c>
      <c r="B28" s="5" t="n">
        <v>34783.46551724145</v>
      </c>
      <c r="C28" s="5" t="n">
        <v>36962.63218390814</v>
      </c>
      <c r="D28" s="5" t="n">
        <v>39141.79885057476</v>
      </c>
      <c r="E28" s="5" t="n">
        <v>43500.13218390814</v>
      </c>
      <c r="F28" s="5" t="n">
        <v>10712.476011994</v>
      </c>
    </row>
    <row r="29">
      <c r="A29" s="25" t="n">
        <v>7</v>
      </c>
      <c r="B29" s="5" t="n"/>
      <c r="C29" s="5" t="n"/>
      <c r="D29" s="5" t="n">
        <v>34220.29885057476</v>
      </c>
      <c r="E29" s="5" t="n">
        <v>38578.63218390814</v>
      </c>
      <c r="F29" s="5" t="n">
        <v>42936.96551724145</v>
      </c>
    </row>
    <row r="30">
      <c r="A30" s="2" t="inlineStr">
        <is>
          <t>Продажа позже 6 месяцев после начала аренды: инвестор платит налог 10,4 % — ячейки: въезд 2 / продажа 8, въезд 2 / продажа 10, въезд 2 / продажа 12, въезд 3 / продажа 10, въезд 3 / продажа 12, въезд 5 / продажа 12</t>
        </is>
      </c>
    </row>
    <row r="32">
      <c r="A32" s="3" t="inlineStr">
        <is>
          <t>Цена покупки (строки) и доходность для инвестора (столбцы): прибыль до налога</t>
        </is>
      </c>
    </row>
    <row r="33">
      <c r="A33" s="20" t="inlineStr">
        <is>
          <t>Цена \ доходность</t>
        </is>
      </c>
      <c r="B33" s="38" t="n">
        <v>0.065</v>
      </c>
      <c r="C33" s="38" t="n">
        <v>0.0675</v>
      </c>
      <c r="D33" s="38" t="n">
        <v>0.07000000000000001</v>
      </c>
      <c r="E33" s="38" t="n">
        <v>0.0725</v>
      </c>
      <c r="F33" s="38" t="n">
        <v>0.075</v>
      </c>
      <c r="G33" s="38" t="n">
        <v>0.0775</v>
      </c>
      <c r="H33" s="38" t="n">
        <v>0.08</v>
      </c>
    </row>
    <row r="34">
      <c r="A34" s="28" t="n">
        <v>290000</v>
      </c>
      <c r="B34" s="5" t="n">
        <v>97517.47435897437</v>
      </c>
      <c r="C34" s="5" t="n">
        <v>81227.94444444444</v>
      </c>
      <c r="D34" s="5" t="n">
        <v>66101.95238095237</v>
      </c>
      <c r="E34" s="5" t="n">
        <v>52019.13218390814</v>
      </c>
      <c r="F34" s="5" t="n">
        <v>38875.16666666669</v>
      </c>
      <c r="G34" s="5" t="n">
        <v>26579.19892473117</v>
      </c>
      <c r="H34" s="5" t="n">
        <v>15051.72916666669</v>
      </c>
    </row>
    <row r="35">
      <c r="A35" s="28" t="n">
        <v>300000</v>
      </c>
      <c r="B35" s="5" t="n">
        <v>87382.47435897437</v>
      </c>
      <c r="C35" s="5" t="n">
        <v>71092.94444444444</v>
      </c>
      <c r="D35" s="5" t="n">
        <v>55966.95238095237</v>
      </c>
      <c r="E35" s="5" t="n">
        <v>41884.13218390814</v>
      </c>
      <c r="F35" s="5" t="n">
        <v>28740.16666666669</v>
      </c>
      <c r="G35" s="5" t="n">
        <v>16444.19892473117</v>
      </c>
      <c r="H35" s="5" t="n">
        <v>4916.729166666686</v>
      </c>
    </row>
    <row r="36">
      <c r="A36" s="28" t="n">
        <v>305000</v>
      </c>
      <c r="B36" s="5" t="n">
        <v>82314.97435897437</v>
      </c>
      <c r="C36" s="5" t="n">
        <v>66025.44444444444</v>
      </c>
      <c r="D36" s="5" t="n">
        <v>50899.45238095237</v>
      </c>
      <c r="E36" s="5" t="n">
        <v>36816.63218390814</v>
      </c>
      <c r="F36" s="5" t="n">
        <v>23672.66666666669</v>
      </c>
      <c r="G36" s="5" t="n">
        <v>11376.69892473117</v>
      </c>
      <c r="H36" s="5" t="n">
        <v>-150.7708333333139</v>
      </c>
    </row>
    <row r="37">
      <c r="A37" s="28" t="n">
        <v>325000</v>
      </c>
      <c r="B37" s="5" t="n">
        <v>62044.97435897437</v>
      </c>
      <c r="C37" s="5" t="n">
        <v>45755.44444444444</v>
      </c>
      <c r="D37" s="5" t="n">
        <v>30629.45238095237</v>
      </c>
      <c r="E37" s="5" t="n">
        <v>16546.63218390814</v>
      </c>
      <c r="F37" s="5" t="n">
        <v>3402.666666666686</v>
      </c>
      <c r="G37" s="5" t="n">
        <v>-8893.301075268828</v>
      </c>
      <c r="H37" s="5" t="n">
        <v>-20420.77083333331</v>
      </c>
    </row>
    <row r="38">
      <c r="A38" s="28" t="n">
        <v>340000</v>
      </c>
      <c r="B38" s="5" t="n">
        <v>46842.47435897437</v>
      </c>
      <c r="C38" s="5" t="n">
        <v>30552.94444444444</v>
      </c>
      <c r="D38" s="5" t="n">
        <v>15426.95238095237</v>
      </c>
      <c r="E38" s="5" t="n">
        <v>1344.132183908136</v>
      </c>
      <c r="F38" s="5" t="n">
        <v>-11799.83333333331</v>
      </c>
      <c r="G38" s="5" t="n">
        <v>-24095.80107526883</v>
      </c>
      <c r="H38" s="5" t="n">
        <v>-35623.27083333331</v>
      </c>
    </row>
    <row r="39">
      <c r="A39" s="28" t="n">
        <v>360000</v>
      </c>
      <c r="B39" s="5" t="n">
        <v>26572.47435897437</v>
      </c>
      <c r="C39" s="5" t="n">
        <v>10282.94444444444</v>
      </c>
      <c r="D39" s="5" t="n">
        <v>-4843.047619047633</v>
      </c>
      <c r="E39" s="5" t="n">
        <v>-18925.86781609186</v>
      </c>
      <c r="F39" s="5" t="n">
        <v>-32069.83333333331</v>
      </c>
      <c r="G39" s="5" t="n">
        <v>-44365.80107526883</v>
      </c>
      <c r="H39" s="5" t="n">
        <v>-55893.27083333331</v>
      </c>
    </row>
    <row r="40">
      <c r="A40" s="28" t="n">
        <v>395000</v>
      </c>
      <c r="B40" s="5" t="n">
        <v>-8900.025641025626</v>
      </c>
      <c r="C40" s="5" t="n">
        <v>-25189.55555555556</v>
      </c>
      <c r="D40" s="5" t="n">
        <v>-40315.54761904763</v>
      </c>
      <c r="E40" s="5" t="n">
        <v>-54398.36781609186</v>
      </c>
      <c r="F40" s="5" t="n">
        <v>-67542.33333333331</v>
      </c>
      <c r="G40" s="5" t="n">
        <v>-79838.30107526883</v>
      </c>
      <c r="H40" s="5" t="n">
        <v>-91365.77083333331</v>
      </c>
    </row>
    <row r="43">
      <c r="A43" s="3" t="inlineStr">
        <is>
          <t>Аренда к оценке (строки) и доходность для инвестора (столбцы): прибыль до налога</t>
        </is>
      </c>
    </row>
    <row r="44">
      <c r="A44" s="20" t="inlineStr">
        <is>
          <t>Аренда \ доходность</t>
        </is>
      </c>
      <c r="B44" s="38" t="n">
        <v>0.065</v>
      </c>
      <c r="C44" s="38" t="n">
        <v>0.0675</v>
      </c>
      <c r="D44" s="38" t="n">
        <v>0.07000000000000001</v>
      </c>
      <c r="E44" s="38" t="n">
        <v>0.0725</v>
      </c>
      <c r="F44" s="38" t="n">
        <v>0.075</v>
      </c>
      <c r="G44" s="38" t="n">
        <v>0.0775</v>
      </c>
      <c r="H44" s="38" t="n">
        <v>0.08</v>
      </c>
    </row>
    <row r="45">
      <c r="A45" s="39" t="n">
        <v>0.85</v>
      </c>
      <c r="B45" s="5" t="n">
        <v>20975.62820512819</v>
      </c>
      <c r="C45" s="5" t="n">
        <v>7129.527777777752</v>
      </c>
      <c r="D45" s="5" t="n">
        <v>-5727.565476190473</v>
      </c>
      <c r="E45" s="5" t="n">
        <v>-17697.96264367813</v>
      </c>
      <c r="F45" s="5" t="n">
        <v>-28870.33333333331</v>
      </c>
      <c r="G45" s="5" t="n">
        <v>-39321.90591397847</v>
      </c>
      <c r="H45" s="5" t="n">
        <v>-49120.25520833331</v>
      </c>
    </row>
    <row r="46">
      <c r="A46" s="39" t="n">
        <v>0.9</v>
      </c>
      <c r="B46" s="5" t="n">
        <v>43111.24358974356</v>
      </c>
      <c r="C46" s="5" t="n">
        <v>28450.66666666669</v>
      </c>
      <c r="D46" s="5" t="n">
        <v>14837.27380952379</v>
      </c>
      <c r="E46" s="5" t="n">
        <v>2162.735632183962</v>
      </c>
      <c r="F46" s="5" t="n">
        <v>-9666.833333333314</v>
      </c>
      <c r="G46" s="5" t="n">
        <v>-20733.20430107525</v>
      </c>
      <c r="H46" s="5" t="n">
        <v>-31107.92708333331</v>
      </c>
    </row>
    <row r="47">
      <c r="A47" s="39" t="n">
        <v>0.95</v>
      </c>
      <c r="B47" s="5" t="n">
        <v>65246.858974359</v>
      </c>
      <c r="C47" s="5" t="n">
        <v>49771.80555555556</v>
      </c>
      <c r="D47" s="5" t="n">
        <v>35402.11309523805</v>
      </c>
      <c r="E47" s="5" t="n">
        <v>22023.43390804599</v>
      </c>
      <c r="F47" s="5" t="n">
        <v>9536.666666666686</v>
      </c>
      <c r="G47" s="5" t="n">
        <v>-2144.502688171982</v>
      </c>
      <c r="H47" s="5" t="n">
        <v>-13095.59895833331</v>
      </c>
    </row>
    <row r="48">
      <c r="A48" s="39" t="n">
        <v>1</v>
      </c>
      <c r="B48" s="5" t="n">
        <v>87382.47435897437</v>
      </c>
      <c r="C48" s="5" t="n">
        <v>71092.94444444444</v>
      </c>
      <c r="D48" s="5" t="n">
        <v>55966.95238095237</v>
      </c>
      <c r="E48" s="5" t="n">
        <v>41884.13218390814</v>
      </c>
      <c r="F48" s="5" t="n">
        <v>28740.16666666669</v>
      </c>
      <c r="G48" s="5" t="n">
        <v>16444.19892473117</v>
      </c>
      <c r="H48" s="5" t="n">
        <v>4916.729166666686</v>
      </c>
    </row>
    <row r="49">
      <c r="A49" s="39" t="n">
        <v>1.05</v>
      </c>
      <c r="B49" s="5" t="n">
        <v>109518.0897435897</v>
      </c>
      <c r="C49" s="5" t="n">
        <v>92414.08333333331</v>
      </c>
      <c r="D49" s="5" t="n">
        <v>76531.79166666663</v>
      </c>
      <c r="E49" s="5" t="n">
        <v>61744.83045977016</v>
      </c>
      <c r="F49" s="5" t="n">
        <v>47943.66666666669</v>
      </c>
      <c r="G49" s="5" t="n">
        <v>35032.90053763444</v>
      </c>
      <c r="H49" s="5" t="n">
        <v>22929.05729166669</v>
      </c>
    </row>
    <row r="50">
      <c r="A50" s="39" t="n">
        <v>1.1</v>
      </c>
      <c r="B50" s="5" t="n">
        <v>131653.7051282052</v>
      </c>
      <c r="C50" s="5" t="n">
        <v>113735.2222222223</v>
      </c>
      <c r="D50" s="5" t="n">
        <v>97096.63095238101</v>
      </c>
      <c r="E50" s="5" t="n">
        <v>81605.52873563237</v>
      </c>
      <c r="F50" s="5" t="n">
        <v>67147.1666666668</v>
      </c>
      <c r="G50" s="5" t="n">
        <v>53621.60215053771</v>
      </c>
      <c r="H50" s="5" t="n">
        <v>40941.38541666674</v>
      </c>
    </row>
    <row r="51">
      <c r="A51" s="39" t="n">
        <v>1.15</v>
      </c>
      <c r="B51" s="5" t="n">
        <v>153789.3205128205</v>
      </c>
      <c r="C51" s="5" t="n">
        <v>135056.3611111111</v>
      </c>
      <c r="D51" s="5" t="n">
        <v>117661.4702380953</v>
      </c>
      <c r="E51" s="5" t="n">
        <v>101466.2270114943</v>
      </c>
      <c r="F51" s="5" t="n">
        <v>86350.66666666669</v>
      </c>
      <c r="G51" s="5" t="n">
        <v>72210.30376344087</v>
      </c>
      <c r="H51" s="5" t="n">
        <v>58953.71354166669</v>
      </c>
    </row>
  </sheetData>
  <conditionalFormatting sqref="B26:F29">
    <cfRule type="colorScale" priority="1">
      <colorScale>
        <cfvo type="min"/>
        <cfvo type="num" val="0"/>
        <cfvo type="max"/>
        <color rgb="00E6B8AF"/>
        <color rgb="00FFFFFF"/>
        <color rgb="00B6D7A8"/>
      </colorScale>
    </cfRule>
  </conditionalFormatting>
  <conditionalFormatting sqref="B34:H40">
    <cfRule type="colorScale" priority="2">
      <colorScale>
        <cfvo type="min"/>
        <cfvo type="num" val="0"/>
        <cfvo type="max"/>
        <color rgb="00E6B8AF"/>
        <color rgb="00FFFFFF"/>
        <color rgb="00B6D7A8"/>
      </colorScale>
    </cfRule>
  </conditionalFormatting>
  <conditionalFormatting sqref="B45:H51">
    <cfRule type="colorScale" priority="3">
      <colorScale>
        <cfvo type="min"/>
        <cfvo type="num" val="0"/>
        <cfvo type="max"/>
        <color rgb="00E6B8AF"/>
        <color rgb="00FFFFFF"/>
        <color rgb="00B6D7A8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0" customWidth="1" min="3" max="3"/>
  </cols>
  <sheetData>
    <row r="1">
      <c r="A1" s="1" t="inlineStr">
        <is>
          <t>План Б: если быстро продать не получается</t>
        </is>
      </c>
    </row>
    <row r="2">
      <c r="A2" s="2" t="inlineStr">
        <is>
          <t>Формулы от листов «Допущения», «Аренда» и «Сводка»</t>
        </is>
      </c>
    </row>
    <row r="4">
      <c r="A4" s="3" t="inlineStr">
        <is>
          <t>Держать сданным</t>
        </is>
      </c>
    </row>
    <row r="5">
      <c r="A5" t="inlineStr">
        <is>
          <t>Расходы владельца, % аренды</t>
        </is>
      </c>
      <c r="B5" s="17" t="n">
        <v>0.125</v>
      </c>
      <c r="C5" s="2" t="inlineStr">
        <is>
          <t>налог OZB, страховка, ремонт, управление</t>
        </is>
      </c>
    </row>
    <row r="6">
      <c r="A6" t="inlineStr">
        <is>
          <t>Чистый доход в год</t>
        </is>
      </c>
      <c r="B6" s="5">
        <f>rent_eff*(1-hold_opex)</f>
        <v/>
      </c>
      <c r="C6" s="2" t="inlineStr"/>
    </row>
    <row r="7">
      <c r="A7" t="inlineStr">
        <is>
          <t>Вложено всего</t>
        </is>
      </c>
      <c r="B7" s="5">
        <f>acq_total+capex_total+rent_eff*letting_fee+marketing</f>
        <v/>
      </c>
      <c r="C7" s="2" t="inlineStr">
        <is>
          <t>НДС к этому моменту возвращён</t>
        </is>
      </c>
    </row>
    <row r="8">
      <c r="A8" t="inlineStr">
        <is>
          <t>Чистая доходность на вложенное</t>
        </is>
      </c>
      <c r="B8" s="12">
        <f>hold_noi/hold_invested</f>
        <v/>
      </c>
      <c r="C8" s="2" t="inlineStr"/>
    </row>
    <row r="9">
      <c r="A9" s="3" t="inlineStr">
        <is>
          <t>Продать без арендатора по цене покупки</t>
        </is>
      </c>
    </row>
    <row r="10">
      <c r="A10" t="inlineStr">
        <is>
          <t>Год содержания и простоя</t>
        </is>
      </c>
      <c r="B10" s="5">
        <f>buy_price*holding_pct+hold_fixed+void_m2*area_m2</f>
        <v/>
      </c>
      <c r="C10" s="2" t="inlineStr"/>
    </row>
    <row r="11">
      <c r="A11" t="inlineStr">
        <is>
          <t>Все затраты</t>
        </is>
      </c>
      <c r="B11" s="5">
        <f>acq_total+capex_total+vac_carry+buy_price*sale_fee+sale_fixed</f>
        <v/>
      </c>
      <c r="C11" s="2" t="inlineStr"/>
    </row>
    <row r="12">
      <c r="A12" t="inlineStr">
        <is>
          <t>Результат</t>
        </is>
      </c>
      <c r="B12" s="5">
        <f>buy_price-vac_cost</f>
        <v/>
      </c>
      <c r="C12" s="2" t="inlineStr">
        <is>
          <t>крайний вариант: прибыль уходит на отделку и расходы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6" customWidth="1" min="4" max="4"/>
    <col width="14" customWidth="1" min="5" max="5"/>
    <col width="30" customWidth="1" min="6" max="6"/>
  </cols>
  <sheetData>
    <row r="1">
      <c r="A1" s="1" t="inlineStr">
        <is>
          <t>Сопоставимые объекты</t>
        </is>
      </c>
    </row>
    <row r="2">
      <c r="A2" s="2" t="inlineStr">
        <is>
          <t>funda in business, выгрузка через Scrapling 20.10.2026</t>
        </is>
      </c>
    </row>
    <row r="4">
      <c r="A4" s="3" t="inlineStr">
        <is>
          <t>Сданные помещения на продаже у Схипхола</t>
        </is>
      </c>
    </row>
    <row r="5">
      <c r="A5" s="20" t="inlineStr">
        <is>
          <t>Объект</t>
        </is>
      </c>
      <c r="B5" s="21" t="inlineStr">
        <is>
          <t>м²</t>
        </is>
      </c>
      <c r="C5" s="21" t="inlineStr">
        <is>
          <t>Цена</t>
        </is>
      </c>
      <c r="D5" s="21" t="inlineStr">
        <is>
          <t>Аренда в год</t>
        </is>
      </c>
      <c r="E5" s="21" t="inlineStr">
        <is>
          <t>Доходность</t>
        </is>
      </c>
    </row>
    <row r="6">
      <c r="A6" t="inlineStr">
        <is>
          <t>Tokyostraat 19-G, Лейнден</t>
        </is>
      </c>
      <c r="B6" s="8" t="n">
        <v>148</v>
      </c>
      <c r="C6" s="5" t="n">
        <v>325000</v>
      </c>
      <c r="D6" s="5" t="n">
        <v>22585</v>
      </c>
      <c r="E6" s="12" t="n">
        <v>0.06950000000000001</v>
      </c>
    </row>
    <row r="7">
      <c r="A7" t="inlineStr">
        <is>
          <t>F.A. Wentstraat 2-A, Алсмер</t>
        </is>
      </c>
      <c r="B7" s="8" t="n">
        <v>381</v>
      </c>
      <c r="C7" s="5" t="n">
        <v>495000</v>
      </c>
      <c r="D7" s="5" t="n">
        <v>28818</v>
      </c>
      <c r="E7" s="12" t="n">
        <v>0.0582</v>
      </c>
    </row>
    <row r="8">
      <c r="A8" t="inlineStr">
        <is>
          <t>Boeingavenue 305-F, ставка продавца</t>
        </is>
      </c>
      <c r="B8" s="8" t="n">
        <v>200</v>
      </c>
      <c r="C8" s="5" t="n">
        <v>425000</v>
      </c>
      <c r="D8" s="5" t="n">
        <v>33000</v>
      </c>
      <c r="E8" s="12" t="n">
        <v>0.0776</v>
      </c>
    </row>
    <row r="10">
      <c r="A10" s="3" t="inlineStr">
        <is>
          <t>Пустые юниты на продаже рядом</t>
        </is>
      </c>
    </row>
    <row r="11">
      <c r="A11" s="20" t="inlineStr">
        <is>
          <t>Объект</t>
        </is>
      </c>
      <c r="B11" s="21" t="inlineStr">
        <is>
          <t>м²</t>
        </is>
      </c>
      <c r="C11" s="21" t="inlineStr">
        <is>
          <t>Цена</t>
        </is>
      </c>
      <c r="D11" s="21" t="inlineStr">
        <is>
          <t>€ за м²</t>
        </is>
      </c>
      <c r="E11" s="21" t="inlineStr">
        <is>
          <t>Год</t>
        </is>
      </c>
    </row>
    <row r="12">
      <c r="A12" t="inlineStr">
        <is>
          <t>Boeingavenue 307-N, наш юнит</t>
        </is>
      </c>
      <c r="B12" s="8" t="n">
        <v>193</v>
      </c>
      <c r="C12" s="5" t="n">
        <v>360000</v>
      </c>
      <c r="D12" s="5" t="n">
        <v>1865</v>
      </c>
      <c r="E12" t="inlineStr">
        <is>
          <t>2025</t>
        </is>
      </c>
    </row>
    <row r="13">
      <c r="A13" t="inlineStr">
        <is>
          <t>Boeingavenue 303-N</t>
        </is>
      </c>
      <c r="B13" s="8" t="n">
        <v>125</v>
      </c>
      <c r="C13" s="5" t="n">
        <v>335000</v>
      </c>
      <c r="D13" s="5" t="n">
        <v>2680</v>
      </c>
      <c r="E13" t="inlineStr">
        <is>
          <t>2025</t>
        </is>
      </c>
    </row>
    <row r="14">
      <c r="A14" t="inlineStr">
        <is>
          <t>Boeingavenue 303-E, с отделкой</t>
        </is>
      </c>
      <c r="B14" s="8" t="n">
        <v>108</v>
      </c>
      <c r="C14" s="5" t="n">
        <v>305000</v>
      </c>
      <c r="D14" s="5" t="n">
        <v>2824</v>
      </c>
      <c r="E14" t="inlineStr">
        <is>
          <t>2026</t>
        </is>
      </c>
    </row>
    <row r="15">
      <c r="A15" t="inlineStr">
        <is>
          <t>Boeingavenue 305-E</t>
        </is>
      </c>
      <c r="B15" s="8" t="n">
        <v>200</v>
      </c>
      <c r="C15" s="5" t="n">
        <v>400000</v>
      </c>
      <c r="D15" s="5" t="n">
        <v>2000</v>
      </c>
      <c r="E15" t="inlineStr">
        <is>
          <t>2020</t>
        </is>
      </c>
    </row>
    <row r="16">
      <c r="A16" t="inlineStr">
        <is>
          <t>Boeingavenue 305-F</t>
        </is>
      </c>
      <c r="B16" s="8" t="n">
        <v>200</v>
      </c>
      <c r="C16" s="5" t="n">
        <v>425000</v>
      </c>
      <c r="D16" s="5" t="n">
        <v>2125</v>
      </c>
      <c r="E16" t="inlineStr">
        <is>
          <t>2020</t>
        </is>
      </c>
    </row>
    <row r="17">
      <c r="A17" t="inlineStr">
        <is>
          <t>Boeingavenue 309-F</t>
        </is>
      </c>
      <c r="B17" s="8" t="n">
        <v>200</v>
      </c>
      <c r="C17" s="5" t="n">
        <v>585000</v>
      </c>
      <c r="D17" s="5" t="n">
        <v>2925</v>
      </c>
      <c r="E17" t="inlineStr">
        <is>
          <t>2020</t>
        </is>
      </c>
    </row>
    <row r="18">
      <c r="A18" t="inlineStr">
        <is>
          <t>Visserstraat 14-B, Алсмер</t>
        </is>
      </c>
      <c r="B18" s="8" t="n">
        <v>177</v>
      </c>
      <c r="C18" s="5" t="n">
        <v>335000</v>
      </c>
      <c r="D18" s="5" t="n">
        <v>1893</v>
      </c>
      <c r="E18" t="inlineStr">
        <is>
          <t>2026</t>
        </is>
      </c>
    </row>
    <row r="19">
      <c r="A19" t="inlineStr">
        <is>
          <t>Lakenblekerstraat 21-A5, Алсмер</t>
        </is>
      </c>
      <c r="B19" s="8" t="n">
        <v>212</v>
      </c>
      <c r="C19" s="5" t="n">
        <v>430000</v>
      </c>
      <c r="D19" s="5" t="n">
        <v>2028</v>
      </c>
      <c r="E19" t="inlineStr">
        <is>
          <t>2025</t>
        </is>
      </c>
    </row>
    <row r="20">
      <c r="A20" t="inlineStr">
        <is>
          <t>Burgemeester Hoffscholteweg 1-02, Алсмер</t>
        </is>
      </c>
      <c r="B20" s="8" t="n">
        <v>228</v>
      </c>
      <c r="C20" s="5" t="n">
        <v>380000</v>
      </c>
      <c r="D20" s="5" t="n">
        <v>1667</v>
      </c>
      <c r="E20" t="inlineStr">
        <is>
          <t>2022</t>
        </is>
      </c>
    </row>
    <row r="22">
      <c r="A22" s="3" t="inlineStr">
        <is>
          <t>Склады и юниты на продаже в наших зонах: одна модель для всех</t>
        </is>
      </c>
    </row>
    <row r="23">
      <c r="A23" s="20" t="inlineStr">
        <is>
          <t>Объект</t>
        </is>
      </c>
      <c r="B23" s="21" t="inlineStr">
        <is>
          <t>Здание</t>
        </is>
      </c>
      <c r="C23" s="21" t="inlineStr">
        <is>
          <t>Цена продавца</t>
        </is>
      </c>
      <c r="D23" s="21" t="inlineStr">
        <is>
          <t>Аренда в год, оценка</t>
        </is>
      </c>
      <c r="E23" s="21" t="inlineStr">
        <is>
          <t>Доходность для инвестора</t>
        </is>
      </c>
      <c r="F23" s="21" t="inlineStr">
        <is>
          <t>Итог по цене продавца</t>
        </is>
      </c>
      <c r="G23" s="21" t="inlineStr">
        <is>
          <t>Цена «в ноль» к цене продавца</t>
        </is>
      </c>
      <c r="H23" s="21" t="inlineStr">
        <is>
          <t>Цена для € 10 на € 100 затрат</t>
        </is>
      </c>
    </row>
    <row r="24">
      <c r="A24" t="inlineStr">
        <is>
          <t>Sijsjesbergweg 4-C2, Амстердам</t>
        </is>
      </c>
      <c r="B24" t="inlineStr">
        <is>
          <t>новый, с НДС</t>
        </is>
      </c>
      <c r="C24" s="5" t="n">
        <v>380000</v>
      </c>
      <c r="D24" s="5" t="n">
        <v>32130</v>
      </c>
      <c r="E24" s="12" t="n">
        <v>0.07000000000000001</v>
      </c>
      <c r="F24" s="5" t="n">
        <v>24303.08333333326</v>
      </c>
      <c r="G24" s="13" t="n">
        <v>0.06310358407117933</v>
      </c>
      <c r="H24" s="13" t="n">
        <v>-0.04713841213789294</v>
      </c>
    </row>
    <row r="25">
      <c r="A25" t="inlineStr">
        <is>
          <t>Boeingavenue 307-N, Схипхол-Рейк</t>
        </is>
      </c>
      <c r="B25" t="inlineStr">
        <is>
          <t>новый, с НДС</t>
        </is>
      </c>
      <c r="C25" s="5" t="n">
        <v>360000</v>
      </c>
      <c r="D25" s="5" t="n">
        <v>28950</v>
      </c>
      <c r="E25" s="12" t="n">
        <v>0.0725</v>
      </c>
      <c r="F25" s="5" t="n">
        <v>-18925.86781609186</v>
      </c>
      <c r="G25" s="13" t="n">
        <v>-0.05187158859861829</v>
      </c>
      <c r="H25" s="13" t="n">
        <v>-0.1531676884295836</v>
      </c>
    </row>
    <row r="26">
      <c r="A26" t="inlineStr">
        <is>
          <t>Van Riemsdijkweg 17, Роттердам</t>
        </is>
      </c>
      <c r="B26" t="inlineStr">
        <is>
          <t>1957, налог 10,4 %</t>
        </is>
      </c>
      <c r="C26" s="5" t="n">
        <v>895000</v>
      </c>
      <c r="D26" s="5" t="n">
        <v>71700</v>
      </c>
      <c r="E26" s="12" t="n">
        <v>0.075</v>
      </c>
      <c r="F26" s="5" t="n">
        <v>-83989.39999999991</v>
      </c>
      <c r="G26" s="13" t="n">
        <v>-0.0837883080606544</v>
      </c>
      <c r="H26" s="13" t="n">
        <v>-0.173198723064645</v>
      </c>
    </row>
    <row r="27">
      <c r="A27" t="inlineStr">
        <is>
          <t>Visserstraat 14-B, Алсмер</t>
        </is>
      </c>
      <c r="B27" t="inlineStr">
        <is>
          <t>новый, с НДС</t>
        </is>
      </c>
      <c r="C27" s="5" t="n">
        <v>335000</v>
      </c>
      <c r="D27" s="5" t="n">
        <v>23895</v>
      </c>
      <c r="E27" s="12" t="n">
        <v>0.0725</v>
      </c>
      <c r="F27" s="5" t="n">
        <v>-59738.45402298844</v>
      </c>
      <c r="G27" s="13" t="n">
        <v>-0.1759484394200341</v>
      </c>
      <c r="H27" s="13" t="n">
        <v>-0.2657965367536693</v>
      </c>
    </row>
    <row r="28">
      <c r="A28" t="inlineStr">
        <is>
          <t>Televisieweg 141, Алмере</t>
        </is>
      </c>
      <c r="B28" t="inlineStr">
        <is>
          <t>1999, налог 10,4 %</t>
        </is>
      </c>
      <c r="C28" s="5" t="n">
        <v>299500</v>
      </c>
      <c r="D28" s="5" t="n">
        <v>21660</v>
      </c>
      <c r="E28" s="12" t="n">
        <v>0.0725</v>
      </c>
      <c r="F28" s="5" t="n">
        <v>-58410.46206896548</v>
      </c>
      <c r="G28" s="13" t="n">
        <v>-0.1741308790512924</v>
      </c>
      <c r="H28" s="13" t="n">
        <v>-0.257544691219206</v>
      </c>
    </row>
    <row r="29">
      <c r="A29" t="inlineStr">
        <is>
          <t>Palmpolstraat 99-G26, Алмере</t>
        </is>
      </c>
      <c r="B29" t="inlineStr">
        <is>
          <t>новый, с НДС</t>
        </is>
      </c>
      <c r="C29" s="5" t="n">
        <v>279900</v>
      </c>
      <c r="D29" s="5" t="n">
        <v>19360</v>
      </c>
      <c r="E29" s="12" t="n">
        <v>0.0725</v>
      </c>
      <c r="F29" s="5" t="n">
        <v>-62709.43160919542</v>
      </c>
      <c r="G29" s="13" t="n">
        <v>-0.2210579880057786</v>
      </c>
      <c r="H29" s="13" t="n">
        <v>-0.3081842559465118</v>
      </c>
    </row>
    <row r="30">
      <c r="A30" t="inlineStr">
        <is>
          <t>Willem Brocadesdreef 180, Хофддорп</t>
        </is>
      </c>
      <c r="B30" t="inlineStr">
        <is>
          <t>2008, налог 10,4 %</t>
        </is>
      </c>
      <c r="C30" s="5" t="n">
        <v>285000</v>
      </c>
      <c r="D30" s="5" t="n">
        <v>19665</v>
      </c>
      <c r="E30" s="12" t="n">
        <v>0.0725</v>
      </c>
      <c r="F30" s="5" t="n">
        <v>-69639.33793103445</v>
      </c>
      <c r="G30" s="13" t="n">
        <v>-0.2181683519142684</v>
      </c>
      <c r="H30" s="13" t="n">
        <v>-0.2977522916813977</v>
      </c>
    </row>
    <row r="31">
      <c r="A31" t="inlineStr">
        <is>
          <t>Theemsweg 62, Амстердам</t>
        </is>
      </c>
      <c r="B31" t="inlineStr">
        <is>
          <t>2002, налог 10,4 %</t>
        </is>
      </c>
      <c r="C31" s="5" t="n">
        <v>410000</v>
      </c>
      <c r="D31" s="5" t="n">
        <v>26780</v>
      </c>
      <c r="E31" s="12" t="n">
        <v>0.07000000000000001</v>
      </c>
      <c r="F31" s="5" t="n">
        <v>-100485.580952381</v>
      </c>
      <c r="G31" s="13" t="n">
        <v>-0.2188274846523978</v>
      </c>
      <c r="H31" s="13" t="n">
        <v>-0.2967752518967677</v>
      </c>
    </row>
    <row r="32">
      <c r="A32" s="2" t="inlineStr">
        <is>
          <t>Новые помещения — схема с НДС и продажа на 7-м месяце; старые здания — налог 10,4 % и продажа через 12 месяцев. У Van Riemsdijkweg 17 учтена плата за эрфпахт € 8.666 в год.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Источники и правила</t>
        </is>
      </c>
    </row>
    <row r="4">
      <c r="A4" s="6" t="inlineStr">
        <is>
          <t>Объект</t>
        </is>
      </c>
      <c r="B4" s="40" t="inlineStr">
        <is>
          <t>https://www.fundainbusiness.nl/bedrijfshal/schiphol-rijk/object-43009847-boeingavenue-307-n/ — € 360.000 vrij op naam без НДС, налога на передачу нет; сдан в 2025 году; разрешение — промышленность с подчинённым офисом</t>
        </is>
      </c>
    </row>
    <row r="5">
      <c r="A5" s="6" t="inlineStr">
        <is>
          <t>Налог на передачу</t>
        </is>
      </c>
      <c r="B5" s="40" t="inlineStr">
        <is>
          <t>Wet op belastingen van rechtsverkeer, ст. 14: 10,4 % для нежилой недвижимости</t>
        </is>
      </c>
    </row>
    <row r="6">
      <c r="A6" s="6" t="inlineStr">
        <is>
          <t>Схема с НДС</t>
        </is>
      </c>
      <c r="B6" s="40" t="inlineStr">
        <is>
          <t>Там же, ст. 15, часть 1, пункт a: покупка нового здания, облагаемая НДС, освобождена от налога на передачу; если помещение уже использовалось как рабочий актив, освобождение сохраняется при покупке в течение 6 месяцев после начала использования — для сданного помещения это начало аренды</t>
        </is>
      </c>
    </row>
    <row r="7">
      <c r="A7" s="6" t="inlineStr">
        <is>
          <t>НДС</t>
        </is>
      </c>
      <c r="B7" s="40" t="inlineStr">
        <is>
          <t>21 %; продажа здания обязательно с НДС до 2 лет после начала использования; аренда с НДС — только арендатору с правом на вычет</t>
        </is>
      </c>
    </row>
    <row r="8">
      <c r="A8" s="6" t="inlineStr">
        <is>
          <t>Налог на прибыль</t>
        </is>
      </c>
      <c r="B8" s="40" t="inlineStr">
        <is>
          <t>VPB 2026: 19 % до € 200.000, 25,8 % сверх (KVK)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2026-10-20T07:57:32Z</dcterms:created>
  <dcterms:modified xmlns:dcterms="http://purl.org/dc/terms/" xmlns:xsi="http://www.w3.org/2001/XMLSchema-instance" xsi:type="dcterms:W3CDTF">2026-10-20T07:57:32Z</dcterms:modified>
</cp:coreProperties>
</file>