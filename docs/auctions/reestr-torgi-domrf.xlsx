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естр торгов" sheetId="1" state="visible" r:id="rId1"/>
  </sheets>
  <definedNames>
    <definedName name="_xlnm._FilterDatabase" localSheetId="0" hidden="1">'Реестр торгов'!$A$4:$K$12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B9C4D1"/>
      <sz val="9"/>
    </font>
    <font>
      <name val="Arial"/>
      <b val="1"/>
      <color rgb="00E7ECF2"/>
      <sz val="9"/>
    </font>
    <font>
      <name val="Arial"/>
      <color rgb="008794A3"/>
      <sz val="9"/>
    </font>
    <font>
      <name val="Arial"/>
      <sz val="10"/>
    </font>
    <font>
      <name val="Arial"/>
      <b val="1"/>
      <sz val="10"/>
    </font>
    <font>
      <name val="Arial"/>
      <color rgb="0054616F"/>
      <sz val="10"/>
    </font>
    <font>
      <name val="Arial"/>
      <b val="1"/>
      <sz val="9"/>
    </font>
    <font>
      <name val="Arial"/>
      <b val="1"/>
      <color rgb="001A7F4B"/>
      <sz val="10"/>
    </font>
    <font>
      <name val="Arial"/>
      <color rgb="001F5C99"/>
      <sz val="10"/>
      <u val="single"/>
    </font>
    <font>
      <name val="Arial"/>
      <b val="1"/>
      <color rgb="00B4720F"/>
      <sz val="10"/>
    </font>
    <font>
      <name val="Arial"/>
      <i val="1"/>
      <color rgb="008794A3"/>
      <sz val="10"/>
    </font>
    <font>
      <name val="Arial"/>
      <color rgb="0054616F"/>
      <sz val="9"/>
    </font>
    <font>
      <name val="Arial"/>
      <color rgb="008794A3"/>
      <sz val="8"/>
    </font>
    <font>
      <name val="Arial"/>
      <b val="1"/>
      <color rgb="008794A3"/>
      <sz val="9"/>
    </font>
  </fonts>
  <fills count="9">
    <fill>
      <patternFill/>
    </fill>
    <fill>
      <patternFill patternType="gray125"/>
    </fill>
    <fill>
      <patternFill patternType="solid">
        <fgColor rgb="0026364A"/>
      </patternFill>
    </fill>
    <fill>
      <patternFill patternType="solid">
        <fgColor rgb="001D2B3C"/>
      </patternFill>
    </fill>
    <fill>
      <patternFill patternType="solid">
        <fgColor rgb="00FDF6D9"/>
      </patternFill>
    </fill>
    <fill>
      <patternFill patternType="solid">
        <fgColor rgb="00FAF9F6"/>
      </patternFill>
    </fill>
    <fill>
      <patternFill patternType="solid">
        <fgColor rgb="00FBECCB"/>
      </patternFill>
    </fill>
    <fill>
      <patternFill patternType="solid">
        <fgColor rgb="00F8DDC4"/>
      </patternFill>
    </fill>
    <fill>
      <patternFill patternType="solid">
        <fgColor rgb="00F5CFC6"/>
      </patternFill>
    </fill>
  </fills>
  <borders count="5">
    <border>
      <left/>
      <right/>
      <top/>
      <bottom/>
      <diagonal/>
    </border>
    <border>
      <bottom style="medium">
        <color rgb="00C9A227"/>
      </bottom>
    </border>
    <border>
      <bottom style="thin">
        <color rgb="00EBE8E1"/>
      </bottom>
    </border>
    <border>
      <top style="medium">
        <color rgb="00C9A227"/>
      </top>
      <bottom style="thin">
        <color rgb="00EBE8E1"/>
      </bottom>
    </border>
    <border>
      <top style="medium">
        <color rgb="0026364A"/>
      </top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2" borderId="1" applyAlignment="1" pivotButton="0" quotePrefix="0" xfId="0">
      <alignment vertical="center" indent="1"/>
    </xf>
    <xf numFmtId="0" fontId="0" fillId="2" borderId="1" pivotButton="0" quotePrefix="0" xfId="0"/>
    <xf numFmtId="0" fontId="3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right" vertical="center" wrapText="1"/>
    </xf>
    <xf numFmtId="0" fontId="4" fillId="0" borderId="2" applyAlignment="1" pivotButton="0" quotePrefix="0" xfId="0">
      <alignment horizontal="right" vertical="top"/>
    </xf>
    <xf numFmtId="0" fontId="6" fillId="0" borderId="2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left" vertical="top"/>
    </xf>
    <xf numFmtId="0" fontId="9" fillId="0" borderId="2" applyAlignment="1" pivotButton="0" quotePrefix="0" xfId="0">
      <alignment horizontal="left" vertical="top"/>
    </xf>
    <xf numFmtId="0" fontId="7" fillId="0" borderId="2" applyAlignment="1" pivotButton="0" quotePrefix="0" xfId="0">
      <alignment horizontal="left" vertical="top"/>
    </xf>
    <xf numFmtId="3" fontId="5" fillId="0" borderId="2" applyAlignment="1" pivotButton="0" quotePrefix="0" xfId="0">
      <alignment horizontal="right" vertical="top"/>
    </xf>
    <xf numFmtId="164" fontId="5" fillId="0" borderId="2" applyAlignment="1" pivotButton="0" quotePrefix="0" xfId="0">
      <alignment horizontal="right" vertical="top"/>
    </xf>
    <xf numFmtId="3" fontId="6" fillId="4" borderId="2" applyAlignment="1" pivotButton="0" quotePrefix="0" xfId="0">
      <alignment horizontal="right" vertical="top"/>
    </xf>
    <xf numFmtId="0" fontId="10" fillId="0" borderId="2" applyAlignment="1" pivotButton="0" quotePrefix="0" xfId="0">
      <alignment horizontal="left" vertical="top"/>
    </xf>
    <xf numFmtId="0" fontId="4" fillId="5" borderId="2" applyAlignment="1" pivotButton="0" quotePrefix="0" xfId="0">
      <alignment horizontal="right" vertical="top"/>
    </xf>
    <xf numFmtId="0" fontId="6" fillId="5" borderId="2" applyAlignment="1" pivotButton="0" quotePrefix="0" xfId="0">
      <alignment horizontal="left" vertical="top" wrapText="1"/>
    </xf>
    <xf numFmtId="0" fontId="7" fillId="5" borderId="2" applyAlignment="1" pivotButton="0" quotePrefix="0" xfId="0">
      <alignment horizontal="left" vertical="top" wrapText="1"/>
    </xf>
    <xf numFmtId="0" fontId="8" fillId="5" borderId="2" applyAlignment="1" pivotButton="0" quotePrefix="0" xfId="0">
      <alignment horizontal="left" vertical="top"/>
    </xf>
    <xf numFmtId="0" fontId="9" fillId="5" borderId="2" applyAlignment="1" pivotButton="0" quotePrefix="0" xfId="0">
      <alignment horizontal="left" vertical="top"/>
    </xf>
    <xf numFmtId="0" fontId="7" fillId="5" borderId="2" applyAlignment="1" pivotButton="0" quotePrefix="0" xfId="0">
      <alignment horizontal="left" vertical="top"/>
    </xf>
    <xf numFmtId="3" fontId="5" fillId="5" borderId="2" applyAlignment="1" pivotButton="0" quotePrefix="0" xfId="0">
      <alignment horizontal="right" vertical="top"/>
    </xf>
    <xf numFmtId="164" fontId="5" fillId="5" borderId="2" applyAlignment="1" pivotButton="0" quotePrefix="0" xfId="0">
      <alignment horizontal="right" vertical="top"/>
    </xf>
    <xf numFmtId="3" fontId="6" fillId="6" borderId="2" applyAlignment="1" pivotButton="0" quotePrefix="0" xfId="0">
      <alignment horizontal="right" vertical="top"/>
    </xf>
    <xf numFmtId="0" fontId="10" fillId="5" borderId="2" applyAlignment="1" pivotButton="0" quotePrefix="0" xfId="0">
      <alignment horizontal="left" vertical="top"/>
    </xf>
    <xf numFmtId="3" fontId="6" fillId="7" borderId="2" applyAlignment="1" pivotButton="0" quotePrefix="0" xfId="0">
      <alignment horizontal="right" vertical="top"/>
    </xf>
    <xf numFmtId="3" fontId="6" fillId="8" borderId="2" applyAlignment="1" pivotButton="0" quotePrefix="0" xfId="0">
      <alignment horizontal="right" vertical="top"/>
    </xf>
    <xf numFmtId="0" fontId="4" fillId="0" borderId="3" applyAlignment="1" pivotButton="0" quotePrefix="0" xfId="0">
      <alignment horizontal="right" vertical="top"/>
    </xf>
    <xf numFmtId="0" fontId="6" fillId="0" borderId="3" applyAlignment="1" pivotButton="0" quotePrefix="0" xfId="0">
      <alignment horizontal="left" vertical="top" wrapText="1"/>
    </xf>
    <xf numFmtId="0" fontId="7" fillId="0" borderId="3" applyAlignment="1" pivotButton="0" quotePrefix="0" xfId="0">
      <alignment horizontal="left" vertical="top" wrapText="1"/>
    </xf>
    <xf numFmtId="0" fontId="8" fillId="0" borderId="3" applyAlignment="1" pivotButton="0" quotePrefix="0" xfId="0">
      <alignment horizontal="left" vertical="top"/>
    </xf>
    <xf numFmtId="0" fontId="11" fillId="0" borderId="3" applyAlignment="1" pivotButton="0" quotePrefix="0" xfId="0">
      <alignment horizontal="left" vertical="top"/>
    </xf>
    <xf numFmtId="0" fontId="7" fillId="0" borderId="3" applyAlignment="1" pivotButton="0" quotePrefix="0" xfId="0">
      <alignment horizontal="left" vertical="top"/>
    </xf>
    <xf numFmtId="0" fontId="12" fillId="0" borderId="3" applyAlignment="1" pivotButton="0" quotePrefix="0" xfId="0">
      <alignment horizontal="right" vertical="top"/>
    </xf>
    <xf numFmtId="164" fontId="5" fillId="0" borderId="3" applyAlignment="1" pivotButton="0" quotePrefix="0" xfId="0">
      <alignment horizontal="right" vertical="top"/>
    </xf>
    <xf numFmtId="3" fontId="6" fillId="0" borderId="3" applyAlignment="1" pivotButton="0" quotePrefix="0" xfId="0">
      <alignment horizontal="right" vertical="top"/>
    </xf>
    <xf numFmtId="0" fontId="10" fillId="0" borderId="3" applyAlignment="1" pivotButton="0" quotePrefix="0" xfId="0">
      <alignment horizontal="left" vertical="top"/>
    </xf>
    <xf numFmtId="0" fontId="11" fillId="5" borderId="2" applyAlignment="1" pivotButton="0" quotePrefix="0" xfId="0">
      <alignment horizontal="left" vertical="top"/>
    </xf>
    <xf numFmtId="0" fontId="12" fillId="5" borderId="2" applyAlignment="1" pivotButton="0" quotePrefix="0" xfId="0">
      <alignment horizontal="right" vertical="top"/>
    </xf>
    <xf numFmtId="3" fontId="6" fillId="5" borderId="2" applyAlignment="1" pivotButton="0" quotePrefix="0" xfId="0">
      <alignment horizontal="right" vertical="top"/>
    </xf>
    <xf numFmtId="0" fontId="11" fillId="0" borderId="2" applyAlignment="1" pivotButton="0" quotePrefix="0" xfId="0">
      <alignment horizontal="left" vertical="top"/>
    </xf>
    <xf numFmtId="0" fontId="12" fillId="0" borderId="2" applyAlignment="1" pivotButton="0" quotePrefix="0" xfId="0">
      <alignment horizontal="right" vertical="top"/>
    </xf>
    <xf numFmtId="3" fontId="6" fillId="0" borderId="2" applyAlignment="1" pivotButton="0" quotePrefix="0" xfId="0">
      <alignment horizontal="right" vertical="top"/>
    </xf>
    <xf numFmtId="0" fontId="0" fillId="0" borderId="4" pivotButton="0" quotePrefix="0" xfId="0"/>
    <xf numFmtId="0" fontId="6" fillId="0" borderId="4" pivotButton="0" quotePrefix="0" xfId="0"/>
    <xf numFmtId="0" fontId="13" fillId="0" borderId="4" pivotButton="0" quotePrefix="0" xfId="0"/>
    <xf numFmtId="3" fontId="6" fillId="0" borderId="4" applyAlignment="1" pivotButton="0" quotePrefix="0" xfId="0">
      <alignment horizontal="right"/>
    </xf>
    <xf numFmtId="164" fontId="6" fillId="0" borderId="4" applyAlignment="1" pivotButton="0" quotePrefix="0" xfId="0">
      <alignment horizontal="right"/>
    </xf>
    <xf numFmtId="0" fontId="14" fillId="0" borderId="4" pivotButton="0" quotePrefix="0" xfId="0"/>
    <xf numFmtId="0" fontId="15" fillId="0" borderId="0" pivotButton="0" quotePrefix="0" xfId="0"/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ДОМ.РФ</author>
  </authors>
  <commentList>
    <comment ref="B5" authorId="0" shapeId="0">
      <text>
        <t>Торги А3248-15/2026. Задаток 107 011 400 ₽. Приём заявок до 07.09.2026. ЗУ 0,29 га (77:02:0019005:4) + здание 6 046,2 м² (77:02:0019005:1000).</t>
      </text>
    </comment>
    <comment ref="B6" authorId="0" shapeId="0">
      <text>
        <t>Торги А3299-15/2026. Задаток 102 898 000 ₽. Приём заявок до 14.09.2026. Лот содержит 19 объектов, полный перечень ДОМ.РФ выдаёт только по запросу через форму. Площадь сайт показывает округлённо (5,3 тыс. м²), поэтому цена за м² приблизительная.</t>
      </text>
    </comment>
    <comment ref="B7" authorId="0" shapeId="0">
      <text>
        <t>Торги А3254-15/2026. Задаток 6 742 200 ₽. Приём заявок до 07.09.2026. Объект культурного наследия, палаты XVII в. ЗУ 0,18 га в аренду + здание 525,7 м².</t>
      </text>
    </comment>
    <comment ref="B8" authorId="0" shapeId="0">
      <text>
        <t>Торги КН-25/2026. Задаток 33 467 000 ₽. Приём заявок до 05.10.2026. Незастроенный участок 0,21 га (77:09:0005015:139). Цена за м² считается по земле и с застроенными лотами напрямую не сравнима.</t>
      </text>
    </comment>
    <comment ref="B9" authorId="0" shapeId="0">
      <text>
        <t>Начальная цена не определена. Объект культурного наследия. ЗУ 0,06 га + 5 зданий: 272,3 / 273,2 / 376,5 / 63,5 / 7,6 м².</t>
      </text>
    </comment>
    <comment ref="B10" authorId="0" shapeId="0">
      <text>
        <t>Начальная цена не определена. Сумма по трём зданиям: 207,3 / 394,4 / 910 м² (сайт показывает 1,5 тыс. м²).</t>
      </text>
    </comment>
    <comment ref="B11" authorId="0" shapeId="0">
      <text>
        <t>Начальная цена не определена. ЗУ 0,20 га + 4 здания: 254,1 / 394 / 446,1 / 581,9 м² (сайт показывает 1,7 тыс. м²).</t>
      </text>
    </comment>
    <comment ref="B12" authorId="0" shapeId="0">
      <text>
        <t>Начальная цена не определена. ЗУ 1,02 га + 5 зданий: 169,7 / ~3 500 / 522,8 / 535,9 / 623,1 м². Одно здание сайт показывает округлённо (3,5 тыс. м²), поэтому сумма приблизительная.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xn--e1adnd0h.xn--d1aqf.xn--p1ai/auctions/617599/" TargetMode="External" Id="rId1" /><Relationship Type="http://schemas.openxmlformats.org/officeDocument/2006/relationships/hyperlink" Target="https://xn--e1adnd0h.xn--d1aqf.xn--p1ai/auctions/620551/" TargetMode="External" Id="rId2" /><Relationship Type="http://schemas.openxmlformats.org/officeDocument/2006/relationships/hyperlink" Target="https://xn--e1adnd0h.xn--d1aqf.xn--p1ai/auctions/618406/" TargetMode="External" Id="rId3" /><Relationship Type="http://schemas.openxmlformats.org/officeDocument/2006/relationships/hyperlink" Target="https://xn--e1adnd0h.xn--d1aqf.xn--p1ai/auctions/622000/" TargetMode="External" Id="rId4" /><Relationship Type="http://schemas.openxmlformats.org/officeDocument/2006/relationships/hyperlink" Target="https://xn--e1adnd0h.xn--d1aqf.xn--p1ai/auctions/planned/585155/" TargetMode="External" Id="rId5" /><Relationship Type="http://schemas.openxmlformats.org/officeDocument/2006/relationships/hyperlink" Target="https://xn--e1adnd0h.xn--d1aqf.xn--p1ai/auctions/planned/602837/" TargetMode="External" Id="rId6" /><Relationship Type="http://schemas.openxmlformats.org/officeDocument/2006/relationships/hyperlink" Target="https://xn--e1adnd0h.xn--d1aqf.xn--p1ai/auctions/planned/581087/" TargetMode="External" Id="rId7" /><Relationship Type="http://schemas.openxmlformats.org/officeDocument/2006/relationships/hyperlink" Target="https://xn--e1adnd0h.xn--d1aqf.xn--p1ai/auctions/planned/593909/" TargetMode="External" Id="rId8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2" customWidth="1" min="3" max="3"/>
    <col width="26" customWidth="1" min="4" max="4"/>
    <col width="11" customWidth="1" min="5" max="5"/>
    <col width="17" customWidth="1" min="6" max="6"/>
    <col width="13" customWidth="1" min="7" max="7"/>
    <col width="16" customWidth="1" min="8" max="8"/>
    <col width="13" customWidth="1" min="9" max="9"/>
    <col width="15" customWidth="1" min="10" max="10"/>
    <col width="11" customWidth="1" min="11" max="11"/>
  </cols>
  <sheetData>
    <row r="1" ht="30" customHeight="1">
      <c r="A1" s="1" t="inlineStr">
        <is>
          <t>РЕЕСТР КОММЕРЧЕСКИХ ОБЪЕКТОВ · ТОРГИ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8" customHeight="1">
      <c r="A2" s="3" t="inlineStr">
        <is>
          <t>Москва · источник: ДОМ.РФ (торги.дом.рф) · 8 объектов · сортировка по цене за м² · актуально на 08.09.2026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4" ht="30" customHeight="1">
      <c r="A4" s="5" t="inlineStr">
        <is>
          <t>№</t>
        </is>
      </c>
      <c r="B4" s="5" t="inlineStr">
        <is>
          <t>Адрес</t>
        </is>
      </c>
      <c r="C4" s="5" t="inlineStr">
        <is>
          <t>Тип объекта</t>
        </is>
      </c>
      <c r="D4" s="5" t="inlineStr">
        <is>
          <t>Район / метро</t>
        </is>
      </c>
      <c r="E4" s="5" t="inlineStr">
        <is>
          <t>Источник</t>
        </is>
      </c>
      <c r="F4" s="5" t="inlineStr">
        <is>
          <t>Статус</t>
        </is>
      </c>
      <c r="G4" s="5" t="inlineStr">
        <is>
          <t>Дата торгов</t>
        </is>
      </c>
      <c r="H4" s="6" t="inlineStr">
        <is>
          <t>Цена, ₽</t>
        </is>
      </c>
      <c r="I4" s="6" t="inlineStr">
        <is>
          <t>Площадь, м²</t>
        </is>
      </c>
      <c r="J4" s="6" t="inlineStr">
        <is>
          <t>Цена за м², ₽</t>
        </is>
      </c>
      <c r="K4" s="5" t="inlineStr">
        <is>
          <t>Ссылка</t>
        </is>
      </c>
    </row>
    <row r="5" ht="30" customHeight="1">
      <c r="A5" s="7" t="n">
        <v>1</v>
      </c>
      <c r="B5" s="8" t="inlineStr">
        <is>
          <t>Ул. Будайская, д. 3</t>
        </is>
      </c>
      <c r="C5" s="9" t="inlineStr">
        <is>
          <t>Имущественный комплекс</t>
        </is>
      </c>
      <c r="D5" s="9" t="inlineStr">
        <is>
          <t>Ростокино / МЦК Ростокино</t>
        </is>
      </c>
      <c r="E5" s="10" t="inlineStr">
        <is>
          <t>ДОМ.РФ</t>
        </is>
      </c>
      <c r="F5" s="11" t="inlineStr">
        <is>
          <t>Торги назначены</t>
        </is>
      </c>
      <c r="G5" s="12" t="inlineStr">
        <is>
          <t>11.09.2026</t>
        </is>
      </c>
      <c r="H5" s="13" t="n">
        <v>535057000</v>
      </c>
      <c r="I5" s="14" t="n">
        <v>6046.2</v>
      </c>
      <c r="J5" s="15">
        <f>IF(AND(ISNUMBER(H5),ISNUMBER(I5)),H5/I5,"—")</f>
        <v/>
      </c>
      <c r="K5" s="16" t="inlineStr">
        <is>
          <t>Открыть</t>
        </is>
      </c>
    </row>
    <row r="6" ht="30" customHeight="1">
      <c r="A6" s="17" t="n">
        <v>2</v>
      </c>
      <c r="B6" s="18" t="inlineStr">
        <is>
          <t>Ул. Кржижановского, вл. 15, к. 2</t>
        </is>
      </c>
      <c r="C6" s="19" t="inlineStr">
        <is>
          <t>Помещение</t>
        </is>
      </c>
      <c r="D6" s="19" t="inlineStr">
        <is>
          <t>Академический / Профсоюзная</t>
        </is>
      </c>
      <c r="E6" s="20" t="inlineStr">
        <is>
          <t>ДОМ.РФ</t>
        </is>
      </c>
      <c r="F6" s="21" t="inlineStr">
        <is>
          <t>Торги назначены</t>
        </is>
      </c>
      <c r="G6" s="22" t="inlineStr">
        <is>
          <t>18.09.2026</t>
        </is>
      </c>
      <c r="H6" s="23" t="n">
        <v>514490000</v>
      </c>
      <c r="I6" s="24" t="n">
        <v>5300</v>
      </c>
      <c r="J6" s="25">
        <f>IF(AND(ISNUMBER(H6),ISNUMBER(I6)),H6/I6,"—")</f>
        <v/>
      </c>
      <c r="K6" s="26" t="inlineStr">
        <is>
          <t>Открыть</t>
        </is>
      </c>
    </row>
    <row r="7" ht="30" customHeight="1">
      <c r="A7" s="7" t="n">
        <v>3</v>
      </c>
      <c r="B7" s="8" t="inlineStr">
        <is>
          <t>Кожевническая ул., д. 19, стр. 6 — Палаты Кожевенной слободы (ОКН)</t>
        </is>
      </c>
      <c r="C7" s="9" t="inlineStr">
        <is>
          <t>Здание + аренда ЗУ</t>
        </is>
      </c>
      <c r="D7" s="9" t="inlineStr">
        <is>
          <t>Замоскворечье / Павелецкая</t>
        </is>
      </c>
      <c r="E7" s="10" t="inlineStr">
        <is>
          <t>ДОМ.РФ</t>
        </is>
      </c>
      <c r="F7" s="11" t="inlineStr">
        <is>
          <t>Торги назначены</t>
        </is>
      </c>
      <c r="G7" s="12" t="inlineStr">
        <is>
          <t>11.09.2026</t>
        </is>
      </c>
      <c r="H7" s="13" t="n">
        <v>67422000</v>
      </c>
      <c r="I7" s="14" t="n">
        <v>525.7</v>
      </c>
      <c r="J7" s="27">
        <f>IF(AND(ISNUMBER(H7),ISNUMBER(I7)),H7/I7,"—")</f>
        <v/>
      </c>
      <c r="K7" s="16" t="inlineStr">
        <is>
          <t>Открыть</t>
        </is>
      </c>
    </row>
    <row r="8" ht="30" customHeight="1">
      <c r="A8" s="17" t="n">
        <v>4</v>
      </c>
      <c r="B8" s="18" t="inlineStr">
        <is>
          <t>Беговая аллея, 7А</t>
        </is>
      </c>
      <c r="C8" s="19" t="inlineStr">
        <is>
          <t>Земельный участок</t>
        </is>
      </c>
      <c r="D8" s="19" t="inlineStr">
        <is>
          <t>Беговой / Динамо · Беговая · Белорусская</t>
        </is>
      </c>
      <c r="E8" s="20" t="inlineStr">
        <is>
          <t>ДОМ.РФ</t>
        </is>
      </c>
      <c r="F8" s="21" t="inlineStr">
        <is>
          <t>Торги назначены</t>
        </is>
      </c>
      <c r="G8" s="22" t="inlineStr">
        <is>
          <t>13.10.2026</t>
        </is>
      </c>
      <c r="H8" s="23" t="n">
        <v>334670000</v>
      </c>
      <c r="I8" s="24" t="n">
        <v>2100</v>
      </c>
      <c r="J8" s="28">
        <f>IF(AND(ISNUMBER(H8),ISNUMBER(I8)),H8/I8,"—")</f>
        <v/>
      </c>
      <c r="K8" s="26" t="inlineStr">
        <is>
          <t>Открыть</t>
        </is>
      </c>
    </row>
    <row r="9" ht="30" customHeight="1">
      <c r="A9" s="29" t="n">
        <v>5</v>
      </c>
      <c r="B9" s="30" t="inlineStr">
        <is>
          <t>Пер. Малый Казенный, вл. 5 (ОКН)</t>
        </is>
      </c>
      <c r="C9" s="31" t="inlineStr">
        <is>
          <t>Имущественный комплекс</t>
        </is>
      </c>
      <c r="D9" s="31" t="inlineStr">
        <is>
          <t>Басманный / Чистые пруды · Курская</t>
        </is>
      </c>
      <c r="E9" s="32" t="inlineStr">
        <is>
          <t>ДОМ.РФ</t>
        </is>
      </c>
      <c r="F9" s="33" t="inlineStr">
        <is>
          <t>Планируются</t>
        </is>
      </c>
      <c r="G9" s="34" t="inlineStr">
        <is>
          <t>4 кв. 2026</t>
        </is>
      </c>
      <c r="H9" s="35" t="inlineStr">
        <is>
          <t>не определена</t>
        </is>
      </c>
      <c r="I9" s="36" t="n">
        <v>993.1</v>
      </c>
      <c r="J9" s="37">
        <f>IF(AND(ISNUMBER(H9),ISNUMBER(I9)),H9/I9,"—")</f>
        <v/>
      </c>
      <c r="K9" s="38" t="inlineStr">
        <is>
          <t>Открыть</t>
        </is>
      </c>
    </row>
    <row r="10" ht="30" customHeight="1">
      <c r="A10" s="17" t="n">
        <v>6</v>
      </c>
      <c r="B10" s="18" t="inlineStr">
        <is>
          <t>Ул. Прямикова, д. 8, стр. 3</t>
        </is>
      </c>
      <c r="C10" s="19" t="inlineStr">
        <is>
          <t>Здание</t>
        </is>
      </c>
      <c r="D10" s="19" t="inlineStr">
        <is>
          <t>Таганский / Римская</t>
        </is>
      </c>
      <c r="E10" s="20" t="inlineStr">
        <is>
          <t>ДОМ.РФ</t>
        </is>
      </c>
      <c r="F10" s="39" t="inlineStr">
        <is>
          <t>Планируются</t>
        </is>
      </c>
      <c r="G10" s="22" t="inlineStr">
        <is>
          <t>4 кв. 2026</t>
        </is>
      </c>
      <c r="H10" s="40" t="inlineStr">
        <is>
          <t>не определена</t>
        </is>
      </c>
      <c r="I10" s="24" t="n">
        <v>1511.7</v>
      </c>
      <c r="J10" s="41">
        <f>IF(AND(ISNUMBER(H10),ISNUMBER(I10)),H10/I10,"—")</f>
        <v/>
      </c>
      <c r="K10" s="26" t="inlineStr">
        <is>
          <t>Открыть</t>
        </is>
      </c>
    </row>
    <row r="11" ht="30" customHeight="1">
      <c r="A11" s="7" t="n">
        <v>7</v>
      </c>
      <c r="B11" s="8" t="inlineStr">
        <is>
          <t>Ул. Погодинская, д. 6, стр. 3–6</t>
        </is>
      </c>
      <c r="C11" s="9" t="inlineStr">
        <is>
          <t>Здание + аренда ЗУ</t>
        </is>
      </c>
      <c r="D11" s="9" t="inlineStr">
        <is>
          <t>Хамовники / Фрунзенская · 1,3 км</t>
        </is>
      </c>
      <c r="E11" s="10" t="inlineStr">
        <is>
          <t>ДОМ.РФ</t>
        </is>
      </c>
      <c r="F11" s="42" t="inlineStr">
        <is>
          <t>Планируются</t>
        </is>
      </c>
      <c r="G11" s="12" t="inlineStr">
        <is>
          <t>3 кв. 2026</t>
        </is>
      </c>
      <c r="H11" s="43" t="inlineStr">
        <is>
          <t>не определена</t>
        </is>
      </c>
      <c r="I11" s="14" t="n">
        <v>1676.1</v>
      </c>
      <c r="J11" s="44">
        <f>IF(AND(ISNUMBER(H11),ISNUMBER(I11)),H11/I11,"—")</f>
        <v/>
      </c>
      <c r="K11" s="16" t="inlineStr">
        <is>
          <t>Открыть</t>
        </is>
      </c>
    </row>
    <row r="12" ht="30" customHeight="1">
      <c r="A12" s="17" t="n">
        <v>8</v>
      </c>
      <c r="B12" s="18" t="inlineStr">
        <is>
          <t>Ул. Оранжерейная, д. 25</t>
        </is>
      </c>
      <c r="C12" s="19" t="inlineStr">
        <is>
          <t>Имущественный комплекс</t>
        </is>
      </c>
      <c r="D12" s="19" t="inlineStr">
        <is>
          <t>Косино-Ухтомский / Ул. Дмитриевского · 1,5 км</t>
        </is>
      </c>
      <c r="E12" s="20" t="inlineStr">
        <is>
          <t>ДОМ.РФ</t>
        </is>
      </c>
      <c r="F12" s="39" t="inlineStr">
        <is>
          <t>Планируются</t>
        </is>
      </c>
      <c r="G12" s="22" t="inlineStr">
        <is>
          <t>4 кв. 2026</t>
        </is>
      </c>
      <c r="H12" s="40" t="inlineStr">
        <is>
          <t>не определена</t>
        </is>
      </c>
      <c r="I12" s="24" t="n">
        <v>5351.5</v>
      </c>
      <c r="J12" s="41">
        <f>IF(AND(ISNUMBER(H12),ISNUMBER(I12)),H12/I12,"—")</f>
        <v/>
      </c>
      <c r="K12" s="26" t="inlineStr">
        <is>
          <t>Открыть</t>
        </is>
      </c>
    </row>
    <row r="14">
      <c r="A14" s="45" t="n"/>
      <c r="B14" s="46" t="inlineStr">
        <is>
          <t>Итого</t>
        </is>
      </c>
      <c r="C14" s="45" t="n"/>
      <c r="D14" s="45" t="n"/>
      <c r="E14" s="45" t="n"/>
      <c r="F14" s="47" t="inlineStr">
        <is>
          <t>Объектов с торгами:</t>
        </is>
      </c>
      <c r="G14" s="46">
        <f>COUNTIF(F5:F12,"Торги назначены")</f>
        <v/>
      </c>
      <c r="H14" s="48">
        <f>SUM(H5:H12)</f>
        <v/>
      </c>
      <c r="I14" s="49">
        <f>SUM(I5:I12)</f>
        <v/>
      </c>
      <c r="J14" s="48">
        <f>IFERROR(SUMIF(J5:J12,"&gt;0")/COUNTIF(J5:J12,"&gt;0"),"—")</f>
        <v/>
      </c>
      <c r="K14" s="50" t="inlineStr">
        <is>
          <t>средняя</t>
        </is>
      </c>
    </row>
    <row r="16">
      <c r="B16" s="51" t="inlineStr">
        <is>
          <t>ПРИМЕЧАНИЯ</t>
        </is>
      </c>
    </row>
    <row r="17" ht="26" customHeight="1">
      <c r="B17" s="52" t="inlineStr">
        <is>
          <t>1. Цена за м² — формула H/I, пересчитывается при правке цены или площади. Для лотов без объявленной цены выводится «—».</t>
        </is>
      </c>
    </row>
    <row r="18" ht="26" customHeight="1">
      <c r="B18" s="52" t="inlineStr">
        <is>
          <t>2. Кржижановского, вл. 15, к. 2 — лот из 19 объектов; полный перечень ДОМ.РФ выдаёт только по запросу через форму. Площадь на сайте округлена (5,3 тыс. м²), цена за м² приблизительная.</t>
        </is>
      </c>
    </row>
    <row r="19" ht="26" customHeight="1">
      <c r="B19" s="52" t="inlineStr">
        <is>
          <t>3. Беговая аллея, 7А — незастроенный земельный участок 0,21 га; цена за м² считается по земле и с застроенными лотами напрямую не сравнима.</t>
        </is>
      </c>
    </row>
    <row r="20" ht="26" customHeight="1">
      <c r="B20" s="52" t="inlineStr">
        <is>
          <t>4. «Дата торгов» — дата проведения аукциона. Приём заявок закрывается раньше: 07.09 (Будайская, Кожевническая), 14.09 (Кржижановского), 05.10 (Беговая аллея).</t>
        </is>
      </c>
    </row>
    <row r="21" ht="26" customHeight="1">
      <c r="B21" s="52" t="inlineStr">
        <is>
          <t>5. Площади строк 5–8 — суммы по перечню объектов лота; на сайте показаны округлённо (0,99 / 1,5 / 1,7 / 5,3 тыс. м²).</t>
        </is>
      </c>
    </row>
    <row r="22" ht="26" customHeight="1">
      <c r="B22" s="52" t="inlineStr">
        <is>
          <t>6. Статусы приведены к формулировкам реестра: «Объявленный» на сайте → «Торги назначены», «В агентировании» → «Планируются».</t>
        </is>
      </c>
    </row>
    <row r="23" ht="26" customHeight="1">
      <c r="B23" s="52" t="inlineStr">
        <is>
          <t>7. В каждой ячейке адреса — примечание с номером торгов, задатком и кадастровыми объектами лота.</t>
        </is>
      </c>
    </row>
  </sheetData>
  <autoFilter ref="A4:K12"/>
  <mergeCells count="9">
    <mergeCell ref="B23:K23"/>
    <mergeCell ref="B22:K22"/>
    <mergeCell ref="B17:K17"/>
    <mergeCell ref="B18:K18"/>
    <mergeCell ref="B21:K21"/>
    <mergeCell ref="A2:K2"/>
    <mergeCell ref="B20:K20"/>
    <mergeCell ref="A1:K1"/>
    <mergeCell ref="B19:K19"/>
  </mergeCells>
  <hyperlinks>
    <hyperlink xmlns:r="http://schemas.openxmlformats.org/officeDocument/2006/relationships" ref="K5" r:id="rId1"/>
    <hyperlink xmlns:r="http://schemas.openxmlformats.org/officeDocument/2006/relationships" ref="K6" r:id="rId2"/>
    <hyperlink xmlns:r="http://schemas.openxmlformats.org/officeDocument/2006/relationships" ref="K7" r:id="rId3"/>
    <hyperlink xmlns:r="http://schemas.openxmlformats.org/officeDocument/2006/relationships" ref="K8" r:id="rId4"/>
    <hyperlink xmlns:r="http://schemas.openxmlformats.org/officeDocument/2006/relationships" ref="K9" r:id="rId5"/>
    <hyperlink xmlns:r="http://schemas.openxmlformats.org/officeDocument/2006/relationships" ref="K10" r:id="rId6"/>
    <hyperlink xmlns:r="http://schemas.openxmlformats.org/officeDocument/2006/relationships" ref="K11" r:id="rId7"/>
    <hyperlink xmlns:r="http://schemas.openxmlformats.org/officeDocument/2006/relationships" ref="K12" r:id="rId8"/>
  </hyperlinks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2026-09-08T09:51:37Z</dcterms:created>
  <dcterms:modified xsi:type="dcterms:W3CDTF">2026-09-08T09:51:37Z</dcterms:modified>
</cp:coreProperties>
</file>