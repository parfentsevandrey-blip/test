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Методика" sheetId="2" state="visible" r:id="rId4"/>
    <sheet name="Все_объекты" sheetId="3" state="visible" r:id="rId5"/>
    <sheet name="Проходимост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<sst xmlns="http://schemas.openxmlformats.org/spreadsheetml/2006/main" count="566" uniqueCount="350">
  <si>
    <t xml:space="preserve">Oude Binnenweg 55, Rotterdam — мы в рынке или нет?</t>
  </si>
  <si>
    <t xml:space="preserve">Проверка запрашиваемой ставки €70 000/год за 161,10 м² против 23 конкурентных предложений в центре Роттердама. Четыре независимых теста. Все расчёты — формулы; входные допущения на листе «Методика».</t>
  </si>
  <si>
    <t xml:space="preserve">НАШ ОБЪЕКТ</t>
  </si>
  <si>
    <t xml:space="preserve">Адрес</t>
  </si>
  <si>
    <t xml:space="preserve">Oude Binnenweg 55, 3012 JA Rotterdam</t>
  </si>
  <si>
    <t xml:space="preserve">Здание 1953 г., арх. Teunis Wilschut, построено для сети De Gruyter. Витрина ок. 8 м. Предыдущий известный арендатор — Scotch &amp; Soda (2016).</t>
  </si>
  <si>
    <t xml:space="preserve">Ставка, €/год</t>
  </si>
  <si>
    <t xml:space="preserve">Запрашиваемая, без НДС. Задана клиентом.</t>
  </si>
  <si>
    <t xml:space="preserve">Общая площадь, м²</t>
  </si>
  <si>
    <t xml:space="preserve">115,0 м² 1-й этаж + 46,1 м² подвал. Доля подвала — 29% площади.</t>
  </si>
  <si>
    <t xml:space="preserve">€/м²/год (общая площадь)</t>
  </si>
  <si>
    <t xml:space="preserve">Ставка ÷ 161,10 м².</t>
  </si>
  <si>
    <t xml:space="preserve">€/м²/мес (общая площадь)</t>
  </si>
  <si>
    <t xml:space="preserve">В задании указано €35,79 — это соответствует площади 162,98 м². Корректная величина при 161,10 м² — см. значение слева.</t>
  </si>
  <si>
    <t xml:space="preserve">€/м²/год, приведённые к 1-му этажу</t>
  </si>
  <si>
    <t xml:space="preserve">Ставка ÷ приведённую площадь (1-й этаж + подвал×0,25). Основной показатель для сравнения.</t>
  </si>
  <si>
    <t xml:space="preserve">Проходимость</t>
  </si>
  <si>
    <t xml:space="preserve">Измерено (Ooms). Для сравнения: Lijnbaan 213 000, Hoogstraat 260 000. Мы — 40% от потока Lijnbaan.</t>
  </si>
  <si>
    <t xml:space="preserve">ТЕСТ 1 · ПРОТИВ ВСЕЙ ВЫБОРКИ (n = 20 сопоставимых из 23)</t>
  </si>
  <si>
    <t xml:space="preserve">Медиана рынка, €/м²/год привед.</t>
  </si>
  <si>
    <t xml:space="preserve">Наше отклонение</t>
  </si>
  <si>
    <t xml:space="preserve">ВЫШЕ медианы. Но выборка содержит крупноформатные лоты 400–834 м², где €/м² механически ниже, и слабые локации с индексом проходимости 40–45. Сравнение «в лоб» некорректно — см. тест 2.</t>
  </si>
  <si>
    <t xml:space="preserve">ТЕСТ 2 · ПРОТИВ СОПОСТАВИМЫХ ПО РАЗМЕРУ (100–210 м², n = 9)</t>
  </si>
  <si>
    <t xml:space="preserve">Медиана, €/м²/год (общая)</t>
  </si>
  <si>
    <t xml:space="preserve">Наше отклонение по общей площади</t>
  </si>
  <si>
    <t xml:space="preserve">Практически ровно на медиане сопоставимых по размеру объектов.</t>
  </si>
  <si>
    <t xml:space="preserve">Медиана, €/м²/год (привед.)</t>
  </si>
  <si>
    <t xml:space="preserve">Наше отклонение по привед. площади</t>
  </si>
  <si>
    <t xml:space="preserve">Выше. Медиана здесь приходится на Van Oldenbarneveltstraat 97 — 109 м² чистого 1-го этажа без подвала за €418/м². Разрыв объясняется тем, что 4 из 9 объектов этой подвыборки стоят в локациях с проходимостью вдвое ниже нашей (Westblaak, Schiedamsedijk, Goudsesingel).</t>
  </si>
  <si>
    <t xml:space="preserve">ТЕСТ 3 · МОДЕЛЬ, УЧИТЫВАЮЩАЯ ОДНОВРЕМЕННО РАЗМЕР И ПРОХОДИМОСТЬ</t>
  </si>
  <si>
    <t xml:space="preserve">Регрессия по 20 сопоставимым объектам:  ln(€/м² привед.) = a + b×ln(привед. площадь) + c×ln(индекс проходимости)</t>
  </si>
  <si>
    <t xml:space="preserve">a (константа)</t>
  </si>
  <si>
    <t xml:space="preserve">Коэффициенты рассчитаны методом наименьших квадратов по выборке из 20 объектов и внесены как константы.</t>
  </si>
  <si>
    <t xml:space="preserve">b (эластичность по площади)</t>
  </si>
  <si>
    <t xml:space="preserve">Отрицательная: каждое удвоение площади снижает ставку за метр примерно на 27%. Это и есть эффект масштаба, из-за которого лоты на Korte Hoogstraat выглядят «дёшево».</t>
  </si>
  <si>
    <t xml:space="preserve">c (эластичность по проходимости)</t>
  </si>
  <si>
    <t xml:space="preserve">Положительная: удвоение потока поднимает ставку за метр примерно на 31%.</t>
  </si>
  <si>
    <t xml:space="preserve">R² модели</t>
  </si>
  <si>
    <t xml:space="preserve">Модель объясняет 42% разброса. Типичное отклонение факта от модели: −29% / +41%. Это ориентир, а не оценка.</t>
  </si>
  <si>
    <t xml:space="preserve">Расчётная справедливая ставка, €/м²/год привед.</t>
  </si>
  <si>
    <t xml:space="preserve">При нашей приведённой площади и нашей проходимости (индекс 100).</t>
  </si>
  <si>
    <t xml:space="preserve">Расчётная справедливая аренда, €/год</t>
  </si>
  <si>
    <t xml:space="preserve">Диапазон модели, €/год</t>
  </si>
  <si>
    <t xml:space="preserve">±1 стандартное отклонение остатков.</t>
  </si>
  <si>
    <t xml:space="preserve">Факт €70 000 против модели</t>
  </si>
  <si>
    <t xml:space="preserve">Совпадение практически точное.</t>
  </si>
  <si>
    <t xml:space="preserve">ТЕСТ 4 · ПРОТИВ ПРАЙМ-СТАВКИ РОТТЕРДАМА (зонирование зоны A)</t>
  </si>
  <si>
    <t xml:space="preserve">Глубина 1-го этажа, м</t>
  </si>
  <si>
    <t xml:space="preserve">115 м² ÷ 8 м витрины.</t>
  </si>
  <si>
    <t xml:space="preserve">Зона A (первые 10 м), м²</t>
  </si>
  <si>
    <t xml:space="preserve">Вес 100%.</t>
  </si>
  <si>
    <t xml:space="preserve">Зона B (остаток), м²</t>
  </si>
  <si>
    <t xml:space="preserve">Вес 50%.</t>
  </si>
  <si>
    <t xml:space="preserve">Эквивалент зоны A, м²</t>
  </si>
  <si>
    <t xml:space="preserve">Зона A + зона B×0,5 + подвал×0,25.</t>
  </si>
  <si>
    <t xml:space="preserve">Наша ставка зоны A, €/м²/год</t>
  </si>
  <si>
    <t xml:space="preserve">Прайм-ставка зоны A, Lijnbaan</t>
  </si>
  <si>
    <t xml:space="preserve">CBRE, 2025.</t>
  </si>
  <si>
    <t xml:space="preserve">Мы в % от прайма</t>
  </si>
  <si>
    <t xml:space="preserve">Наша проходимость в % от Lijnbaan</t>
  </si>
  <si>
    <t xml:space="preserve">Ключевая сходимость: мы платим 46% прайм-ставки при 40% прайм-потока. Для улицы класса A2 удержание 35–50% прайма — нормальный рыночный уровень.</t>
  </si>
  <si>
    <t xml:space="preserve">ВЫВОД</t>
  </si>
  <si>
    <t xml:space="preserve">ДА, МЫ В РЫНКЕ — но у верхней границы справедливого диапазона, а не в середине.</t>
  </si>
  <si>
    <t xml:space="preserve">Три из четырёх тестов сходятся.</t>
  </si>
  <si>
    <t xml:space="preserve">      Тест 2 по общей площади даёт отклонение около нуля, тест 3 (с поправкой и на размер, и на проходимость) — практически ноль, тест 4 показывает 46% прайм-ставки при 40% прайм-потока. Совпадение трёх независимых методов — главный аргумент.</t>
  </si>
  <si>
    <t xml:space="preserve">Тест 1 и приведённая база теста 2 показывают превышение — и это не ошибка, а реальный риск.</t>
  </si>
  <si>
    <t xml:space="preserve">      По приведённой к 1-му этажу ставке мы дороже медианы. Причина в том, что медиану формируют объекты в существенно более слабых локациях. Но в переговорах арендатор будет цитировать именно эти цифры, поэтому их надо знать заранее.</t>
  </si>
  <si>
    <t xml:space="preserve">Самый опасный для нас аргумент — Van Oldenbarneveltstraat 97.</t>
  </si>
  <si>
    <t xml:space="preserve">      109 м² чистого 1-го этажа в ядре города, витрина 14,5 м, за €45 600/год = €418/м². Наш 1-й этаж в пересчёте стоит €609/м². Контраргумент: у них 0 м² подвала и +€3 300/год сервисных расходов сверху, у нас подвал 46,1 м² включён в ставку и сервис не раскрыт.</t>
  </si>
  <si>
    <t xml:space="preserve">Самый сильный аргумент за нас — Meent 121.</t>
  </si>
  <si>
    <t xml:space="preserve">      160 м² (80 + 80 подвал), то есть практически наш размер, на улице класса A1 просят €130 000/год — на 86% больше нашего при почти идентичной площади. Мы стоим на 46% дешевле сопоставимой по формату прайм-альтернативы.</t>
  </si>
  <si>
    <t xml:space="preserve">Вторая опора — наша собственная улица.</t>
  </si>
  <si>
    <t xml:space="preserve">      Два объекта общепита на Oude Binnenweg (150-A и 117-119) в её более тихой западной половине просят €493 и €432 за метр общей площади. Мы просим €435 — при лучшей позиции на улице.</t>
  </si>
  <si>
    <t xml:space="preserve">Практический вывод для переговоров.</t>
  </si>
  <si>
    <t xml:space="preserve">      €70 000 защитимы, но запаса нет. Реалистичный коридор сделки — €62 000–70 000/год; в Нидерландах стрит-ритейл закрывается на 5–15% ниже экспозиции. Если цель — быстро закрыть договор, ориентир €63 000–65 000 плюс huurvrije periode 2–3 месяца. Если цель — держать уровень, аргументы: включённый в ставку подвал 46,1 м², витрина 8 м, измеренная проходимость 86 000 чел./нед. и A-классификация улицы, разрыв в 86% с Meent 121.</t>
  </si>
  <si>
    <t xml:space="preserve">Что нужно проверить до переговоров.</t>
  </si>
  <si>
    <t xml:space="preserve">      (1) Обмер NEN 2580 — три источника дают три разные площади по этому адресу. (2) Состояние сдачи: casco или отделка? Почти вся выборка сдаётся casco — если мы даём отделанное помещение, наша премия обоснована и её надо заявить. (3) Сервисные расходы: у конкурентов от €0 до €37,50/м²/год, наши не раскрыты, а они меняют сравнение на 10%+.</t>
  </si>
  <si>
    <t xml:space="preserve">Методика, допущения и оговорки</t>
  </si>
  <si>
    <t xml:space="preserve">Все входные допущения модели собраны в блоке ниже и подтягиваются формулами на остальные листы. Изменение жёлтой ячейки пересчитывает весь файл.</t>
  </si>
  <si>
    <t xml:space="preserve">1. ВЕСА ПРИВЕДЕНИЯ ПЛОЩАДЕЙ (голландская практика зонирования торговых площадей)</t>
  </si>
  <si>
    <t xml:space="preserve">Вес 1-го этажа</t>
  </si>
  <si>
    <t xml:space="preserve">База. Первый этаж — единственный уровень, генерирующий полноценный торговый оборот.</t>
  </si>
  <si>
    <t xml:space="preserve">Вес подвала (kelder / souterrain)</t>
  </si>
  <si>
    <t xml:space="preserve">Рынок Нидерландов оценивает подвал в 20–25% от ставки 1-го этажа: это склад/подсобка, а не торговля. 25% — верхняя, т.е. консервативная для арендодателя граница.</t>
  </si>
  <si>
    <t xml:space="preserve">Вес прочих уровней (антресоль, 2-й этаж)</t>
  </si>
  <si>
    <t xml:space="preserve">Антресоль/2-й этаж с доступом из зала — 25–50%. Принято 0,35.</t>
  </si>
  <si>
    <t xml:space="preserve">2. ИСХОДНЫЕ ДАННЫЕ ПО НАШЕМУ ОБЪЕКТУ (Oude Binnenweg 55) — со слов клиента</t>
  </si>
  <si>
    <t xml:space="preserve">Арендная ставка, €/год</t>
  </si>
  <si>
    <t xml:space="preserve">Задана клиентом. Единственная известная величина — общая ставка за оба уровня; раздельных ставок по 1-му этажу и подвалу нет.</t>
  </si>
  <si>
    <t xml:space="preserve">Площадь 1-го этажа, м²</t>
  </si>
  <si>
    <t xml:space="preserve">Задана клиентом.</t>
  </si>
  <si>
    <t xml:space="preserve">Площадь подвала, м²</t>
  </si>
  <si>
    <t xml:space="preserve">Общая площадь, м² (расчёт)</t>
  </si>
  <si>
    <t xml:space="preserve">Проверка: 115 + 46,1 = 161,10 м² — сходится с данными клиента.</t>
  </si>
  <si>
    <t xml:space="preserve">Ширина витрины, м</t>
  </si>
  <si>
    <t xml:space="preserve">Из экспозиции Ooms/iLocate по адресу Oude Binnenweg 55 («ca. 8 meter»). Ширина фасада здания по данным о постройке — 9 м.</t>
  </si>
  <si>
    <t xml:space="preserve">Глубина зоны A, м</t>
  </si>
  <si>
    <t xml:space="preserve">Стандарт зонирования: первые 10 м глубины от витрины = зона A (100%), далее зона B (50%).</t>
  </si>
  <si>
    <t xml:space="preserve">Вес зоны B</t>
  </si>
  <si>
    <t xml:space="preserve">Остаток глубины 1-го этажа за пределами первых 10 м.</t>
  </si>
  <si>
    <t xml:space="preserve">3. ВНЕШНИЕ РЕПЕРЫ (для перекрёстной проверки)</t>
  </si>
  <si>
    <t xml:space="preserve">Проходимость Oude Binnenweg, чел./нед.</t>
  </si>
  <si>
    <t xml:space="preserve">Ooms Makelaars (бизнес-кейс по Oude Binnenweg 57A — соседнее с нами помещение), характеризует улицу как A-локацию.</t>
  </si>
  <si>
    <t xml:space="preserve">Проходимость Lijnbaan, чел./нед.</t>
  </si>
  <si>
    <t xml:space="preserve">RetailSonar, замер по данным смартфонов, период VI.2022 – V.2023. 7-е место в Нидерландах.</t>
  </si>
  <si>
    <t xml:space="preserve">Проходимость Hoogstraat, чел./нед.</t>
  </si>
  <si>
    <t xml:space="preserve">RetailSonar, там же. 3-е место в Нидерландах, самая посещаемая улица Роттердама.</t>
  </si>
  <si>
    <t xml:space="preserve">Прайм-ставка зоны A, Lijnbaan, €/м²/год</t>
  </si>
  <si>
    <t xml:space="preserve">CBRE, «The Resilience of Dutch Prime Shopping Streets», 2025. Верхний рыночный ориентир Роттердама.</t>
  </si>
  <si>
    <t xml:space="preserve">4. КАК СЧИТАЛИСЬ ПОКАЗАТЕЛИ</t>
  </si>
  <si>
    <t xml:space="preserve">•  «€/м²/год (общая)» = запрашиваемая годовая ставка ÷ общая площадь объекта. Самый простой, но и самый искажающий показатель: он неявно приравнивает подвал к торговому залу и игнорирует эффект масштаба.</t>
  </si>
  <si>
    <t xml:space="preserve">•  «Приведённая площадь» = 1-й этаж×1,00 + подвал×0,25 + прочие уровни×0,35. «€/м²/год (привед.)» = ставка ÷ приведённая площадь. Это ставка, приведённая к эквиваленту 1-го этажа, — корректная база для сравнения объектов с разной долей подвала. У нас подвал даёт 29% общей площади, у Botersloot 52-A — 55%, у Meent 121 — 50%, у Karel Doormanstraat 320-322 и Van Oldenbarneveltstraat 97 — 0%. Без приведения эти объекты несопоставимы в принципе.</t>
  </si>
  <si>
    <t xml:space="preserve">•  «Отклонение от нашей ставки» считается по €/м²/год приведённой, т.е. после устранения искажения от подвала.</t>
  </si>
  <si>
    <t xml:space="preserve">•  Индекс проходимости: наш объект = 100. Для Oude Binnenweg, Lijnbaan и Hoogstraat индекс рассчитан из ИЗМЕРЕННЫХ данных (см. блок 3) и помечен «изм.». Для остальных улиц публичных замеров нет — индекс проставлен экспертно по классу локации, функции улицы и расстоянию до ядра, и помечен «оценка». Различие важно: измеренные значения можно защищать в переговорах, оценочные — нет.</t>
  </si>
  <si>
    <t xml:space="preserve">•  Все ставки в таблице — ЗАПРАШИВАЕМЫЕ (asking) и БЕЗ НДС. Фактические сделки на голландском стрит-ритейле закрываются, как правило, на 5–15% ниже экспозиции, плюс стимулы (huurvrije periode, вклад в отделку), которые в объявлениях не раскрываются. Реальный рыночный уровень ниже расчётной медианы.</t>
  </si>
  <si>
    <t xml:space="preserve">•  Сервисные расходы вынесены в отдельный столбец и НЕ включены в €/м². Они существенно различаются: от нуля до €37,50/м²/год (Westblaak 159, +13% к базовой ставке). При сравнении полной стоимости занятия помещения их надо приплюсовывать.</t>
  </si>
  <si>
    <t xml:space="preserve">5. ОГОВОРКИ И ДЕФЕКТЫ ИСХОДНЫХ ДАННЫХ (обязательно к прочтению)</t>
  </si>
  <si>
    <t xml:space="preserve">Ставка €35,79/м²/мес из задания не сходится.</t>
  </si>
  <si>
    <t xml:space="preserve">€70 000 ÷ 161,10 м² ÷ 12 = €36,21/м²/мес. Указанные €35,79 соответствуют площади 162,98 м², а не 161,10 м². Расхождение 1,2% — во всех расчётах использована ставка €70 000/год как первичная величина, а не производная €/м²/мес.</t>
  </si>
  <si>
    <t xml:space="preserve">Площади нашего объекта расходятся с рыночной экспозицией.</t>
  </si>
  <si>
    <t xml:space="preserve">Клиент: 115 + 46,1 = 161,10 м². Экспозиция Ooms/iLocate по Oude Binnenweg 55: ок. 120 м² 1-й этаж + ок. 42 м² подвал = 162 м². Сделка 2016 г. со Scotch &amp; Soda описывалась как ок. 127 м² + ок. 60 м² подвала. Три разных набора цифр по одному адресу — перед переговорами нужен обмер NEN 2580.</t>
  </si>
  <si>
    <t xml:space="preserve">Наш объект, судя по всему, СЕЙЧАС В ЭКСПОЗИЦИИ.</t>
  </si>
  <si>
    <t xml:space="preserve">На iLocate помещение по адресу Oude Binnenweg 55 предлагается в аренду через Ooms Makelaars, срок 10 + 2×5 лет, цена «на запрос». Если €70 000 — это asking, а не подписанный договор, то это верхняя граница переговоров, и фактическая ставка будет ниже. Вывод «мы в рынке» относится к запрашиваемому уровню.</t>
  </si>
  <si>
    <t xml:space="preserve">Witte de Withstraat 2 и Schiedamse Vest 89 — вероятно, один и тот же объект.</t>
  </si>
  <si>
    <t xml:space="preserve">Совпадают площадь (401 м²), ставка (€125 000), сервис (€20/м²/год) и год постройки (1928); разбивка «1-й этаж/подвал» зеркально перевёрнута (215/186 против 186/215); угловое здание на пересечении этих улиц. Брокеры разные (Parc Makelaars и KroesePaternotte). Во избежание двойного счёта в выборке учтён один раз.</t>
  </si>
  <si>
    <t xml:space="preserve">Два объекта исключены как несопоставимые.</t>
  </si>
  <si>
    <t xml:space="preserve">Karel Doormanstraat 451-A — сервисный кабинет 18 м² по модели all-in (€875/мес включая интернет, электричество и кухню, возможна почасовая/подневная аренда): это продажа услуги, а не аренда помещения. Schiedamsedijk 3 — €990/мес за ОДНУ студию от 12 м² в салоне Gallery Salon Studios, а не за объект 99 м²; прямое деление дало бы фиктивные €120/м²/год.</t>
  </si>
  <si>
    <t xml:space="preserve">Разбивка Lijnbaan 58 — оценочная.</t>
  </si>
  <si>
    <t xml:space="preserve">Объявление даёт 395 м² на двух уровнях без разбивки по этажам. При витрине 8 м принято ~200 м² 1-й этаж + ~195 м² второй. Приведённая ставка по этому объекту чувствительна к допущению и в переговорах на неё опираться не следует.</t>
  </si>
  <si>
    <t xml:space="preserve">Расхождение внутри объявления Schiedamsedijk 8-A.</t>
  </si>
  <si>
    <t xml:space="preserve">Заявлено 200 м² всего, но по уровням дано 80 + 90 = 170 м². 30 м² не детализированы. Расчёт приведённой площади сделан по детализированным 170 м².</t>
  </si>
  <si>
    <t xml:space="preserve">Разбивка Oude Binnenweg 150-A — приблизительная.</t>
  </si>
  <si>
    <t xml:space="preserve">Объявление: 140 м² всего, 120 м² торговых, 3 уровня, при этом сам объект помечен как расположенный на уровне −1. Принято 120 м² торговых + 20 м² прочих.</t>
  </si>
  <si>
    <t xml:space="preserve">Хорека ≠ ритейл.</t>
  </si>
  <si>
    <t xml:space="preserve">Oude Binnenweg 150-A и 117-119 — объекты общепита. Это лучшие по локации аналоги (та же улица), но общепит обычно платит премию к ритейлу за ту же площадь, а у 117-119 сверх аренды берут €50 000 гудвилла. Сравнение с ними завышает «нормальный» уровень для ритейла.</t>
  </si>
  <si>
    <t xml:space="preserve">Модель регрессии объясняет 42% разброса.</t>
  </si>
  <si>
    <t xml:space="preserve">R² = 0,42 при n = 20 — это ориентир, а не оценка. Типичный разброс факта вокруг модели: −29% / +41%. Вывод «в рынке» опирается на СОВПАДЕНИЕ трёх независимых тестов, а не на один этот показатель.</t>
  </si>
  <si>
    <t xml:space="preserve">6. ИСТОЧНИКИ</t>
  </si>
  <si>
    <t xml:space="preserve">•  funda in business — 23 объявления, предоставленные клиентом (выгрузка: август 2026). Ссылки в столбце X листа «Все_объекты».</t>
  </si>
  <si>
    <t xml:space="preserve">•  Ooms Makelaars — бизнес-кейс по Oude Binnenweg 57A: проходимость улицы ок. 86 000 чел./нед., классификация A-локация. https://ooms.com/actueel/bedrijfscase-verhuur-oude-binnenweg-57a</t>
  </si>
  <si>
    <t xml:space="preserve">•  RetailSonar — топ-10 самых посещаемых торговых улиц Нидерландов по данным смартфонов (VI.2022–V.2023). https://retailsonar.com/nl/blog/post/footfall-data-winkelstraten-nederland</t>
  </si>
  <si>
    <t xml:space="preserve">•  CBRE — The Resilience of Dutch Prime Shopping Streets, 2025: прайм-ставка зоны A по Lijnbaan €1 400/м²/год. https://www.cbre.com/insights/reports/the-resilience-of-dutch-prime-shopping-streets</t>
  </si>
  <si>
    <t xml:space="preserve">•  iLocate / Ooms Makelaars — экспозиция Oude Binnenweg 55: ок. 120 м² 1-й эт. + ок. 42 м² подвал, витрина ок. 8 м, 1953 г., срок 10 + 2×5 лет.</t>
  </si>
  <si>
    <t xml:space="preserve">•  Vastgoedberichten (2016) — сделка Scotch &amp; Soda по Oude Binnenweg 55: ок. 127 м² 1-й этаж + ок. 60 м² подвал.</t>
  </si>
  <si>
    <t xml:space="preserve">•  Wikipedia (nl) — Oude Binnenweg 55: арх. Teunis Wilschut, 1951–1953, традиционалистский стиль, построено для De Gruyter; 3 этажа + подвал; фасад 9 м, глубина 16 м.</t>
  </si>
  <si>
    <t xml:space="preserve">Роттердам · стрит-ритейл · сравнительный анализ арендных ставок и характеристик</t>
  </si>
  <si>
    <t xml:space="preserve">Объект оценки: Oude Binnenweg 55, Rotterdam · 161,10 м² (115 м² 1-й этаж + 46,1 м² подвал) · €70 000/год  |  База сравнения: 23 объявления funda in business, предоставленные клиентом  |  Сортировка — по возрастанию приведённой ставки €/м²/год  |  Столбцы «Привед. пл.», «€/м²…», «Откл.» — расчётные формулы  |  Все ставки — ЗАПРАШИВАЕМЫЕ, без НДС</t>
  </si>
  <si>
    <t xml:space="preserve">№</t>
  </si>
  <si>
    <t xml:space="preserve">Тип объекта</t>
  </si>
  <si>
    <t xml:space="preserve">Общая пл., м²</t>
  </si>
  <si>
    <t xml:space="preserve">1-й этаж, м²</t>
  </si>
  <si>
    <t xml:space="preserve">Подвал, м²</t>
  </si>
  <si>
    <t xml:space="preserve">Прочие уровни, м²</t>
  </si>
  <si>
    <t xml:space="preserve">Привед. пл., м²</t>
  </si>
  <si>
    <t xml:space="preserve">Витрина, м</t>
  </si>
  <si>
    <t xml:space="preserve">Год постр.</t>
  </si>
  <si>
    <t xml:space="preserve">Состояние / отделка</t>
  </si>
  <si>
    <t xml:space="preserve">Сервис. расх., €/год</t>
  </si>
  <si>
    <t xml:space="preserve">€/м²/год (общая)</t>
  </si>
  <si>
    <t xml:space="preserve">€/м²/мес (общая)</t>
  </si>
  <si>
    <t xml:space="preserve">€/м²/год (привед.)</t>
  </si>
  <si>
    <t xml:space="preserve">Откл. от нашей ставки</t>
  </si>
  <si>
    <t xml:space="preserve">Индекс проход. (наш=100)</t>
  </si>
  <si>
    <t xml:space="preserve">Проходимость vs наш</t>
  </si>
  <si>
    <t xml:space="preserve">Класс локации</t>
  </si>
  <si>
    <t xml:space="preserve">Статус</t>
  </si>
  <si>
    <t xml:space="preserve">В выборке</t>
  </si>
  <si>
    <t xml:space="preserve">Примечание / дефекты данных</t>
  </si>
  <si>
    <t xml:space="preserve">Ссылка</t>
  </si>
  <si>
    <t xml:space="preserve">Schiedamsedijk 3, 3011 EB</t>
  </si>
  <si>
    <t xml:space="preserve">Салон-студии (аренда рабочего места)</t>
  </si>
  <si>
    <t xml:space="preserve">1981</t>
  </si>
  <si>
    <t xml:space="preserve">Оборудовано: кухня/бэк-бар, проф. свет, мойка</t>
  </si>
  <si>
    <t xml:space="preserve">не раскрыто</t>
  </si>
  <si>
    <t xml:space="preserve">Хуже</t>
  </si>
  <si>
    <t xml:space="preserve">B2</t>
  </si>
  <si>
    <t xml:space="preserve">Свободно, per direct</t>
  </si>
  <si>
    <t xml:space="preserve">НЕ СОПОСТАВИМ: €990/мес — ставка ЗА ОДНУ СТУДИЮ от 12 м² в рамках Gallery Salon Studios (модель членства), а не за объект 99 м². Приведение к €/м² объекта дало бы искусственно заниженные €120/м²/год. Исключён.</t>
  </si>
  <si>
    <t xml:space="preserve">https://www.fundainbusiness.nl/en/winkel/rotterdam/object-89674389-schiedamsedijk-3/</t>
  </si>
  <si>
    <t xml:space="preserve">Schouwburgplein 9, 3012 CL</t>
  </si>
  <si>
    <t xml:space="preserve">Винкель + шоурум</t>
  </si>
  <si>
    <t xml:space="preserve">н/д</t>
  </si>
  <si>
    <t xml:space="preserve">Casco</t>
  </si>
  <si>
    <t xml:space="preserve">Сопоставимо / чуть лучше</t>
  </si>
  <si>
    <t xml:space="preserve">A2</t>
  </si>
  <si>
    <t xml:space="preserve">Свободно (в согласовании)</t>
  </si>
  <si>
    <t xml:space="preserve">500 м до Centraal Station, у Lijnbaan/Koopgoot. Высокий транзит, но площадь — событийно-досуговая, retail-задержка ниже витринной улицы.</t>
  </si>
  <si>
    <t xml:space="preserve">https://www.fundainbusiness.nl/en/winkel/rotterdam/object-89056875-schouwburgplein-9/</t>
  </si>
  <si>
    <t xml:space="preserve">Groenendaal 245, 3011 ZW</t>
  </si>
  <si>
    <t xml:space="preserve">Casco (без отделки)</t>
  </si>
  <si>
    <t xml:space="preserve">B1</t>
  </si>
  <si>
    <t xml:space="preserve">Первый этаж жилого комплекса у Oostplein/Blaak. Соседи: Albert Heijn, Trekpleister. Зонирование Centrum-6 — хорека ЗАПРЕЩЕНА.</t>
  </si>
  <si>
    <t xml:space="preserve">https://www.fundainbusiness.nl/en/winkel/rotterdam/object-80838997-groenendaal-245/</t>
  </si>
  <si>
    <t xml:space="preserve">Goudsesingel 247, 3031 EL</t>
  </si>
  <si>
    <t xml:space="preserve">Винкель (verkoopruimte)</t>
  </si>
  <si>
    <t xml:space="preserve">1956</t>
  </si>
  <si>
    <t xml:space="preserve">Тек. состояние, свободно и пусто</t>
  </si>
  <si>
    <t xml:space="preserve">Свободно с 01.01.2027</t>
  </si>
  <si>
    <t xml:space="preserve">Энергометка A+. Взнос BIZ. Договор 5+5. Доступен только с 2027 г.</t>
  </si>
  <si>
    <t xml:space="preserve">https://www.fundainbusiness.nl/en/winkel/rotterdam/object-44493275-goudsesingel-247/</t>
  </si>
  <si>
    <t xml:space="preserve">Westblaak 159, 3012 KJ</t>
  </si>
  <si>
    <t xml:space="preserve">1978</t>
  </si>
  <si>
    <t xml:space="preserve">Транспортная магистраль Westblaak — автомобильный, а не пешеходный поток. Сервисные расходы €37,50/м²/год — самые высокие в выборке (+13% к базовой ставке).</t>
  </si>
  <si>
    <t xml:space="preserve">https://www.fundainbusiness.nl/en/winkel/rotterdam/object-89729432-westblaak-159/</t>
  </si>
  <si>
    <t xml:space="preserve">Korte Hoogstraat 9-A, 3011 GJ</t>
  </si>
  <si>
    <t xml:space="preserve">Винкель + шоурум, 2 уровня</t>
  </si>
  <si>
    <t xml:space="preserve">1954</t>
  </si>
  <si>
    <t xml:space="preserve">СИЛЬНО ЛУЧШЕ (изм.)</t>
  </si>
  <si>
    <t xml:space="preserve">A1 (прайм)</t>
  </si>
  <si>
    <t xml:space="preserve">У входа в De Koopgoot. Соседи: HEMA, Bristol, Dille &amp; Kamille. Крупный формат — эффект масштаба сильно занижает €/м². Первая заявленная ставка была €13 950/мес, текущая €14 250/мес.</t>
  </si>
  <si>
    <t xml:space="preserve">https://www.fundainbusiness.nl/en/winkel/rotterdam/object-89259857-korte-hoogstraat-9-a/</t>
  </si>
  <si>
    <t xml:space="preserve">Karel Doormanstraat 257-259, 3012 GH</t>
  </si>
  <si>
    <t xml:space="preserve">Винкель</t>
  </si>
  <si>
    <t xml:space="preserve">1987</t>
  </si>
  <si>
    <t xml:space="preserve">Casco, свободно и чисто</t>
  </si>
  <si>
    <t xml:space="preserve">Немного хуже</t>
  </si>
  <si>
    <t xml:space="preserve">A2 / B1</t>
  </si>
  <si>
    <t xml:space="preserve">ЕДИНСТВЕННЫЙ ОБЪЕКТ С ЯВНОЙ УДЕЛЬНОЙ СТАВКОЙ: €305/м²/год (согласуется с €12 500/мес). Энергометки A++/A+. Делится на блоки 309 и 182 м².</t>
  </si>
  <si>
    <t xml:space="preserve">https://www.fundainbusiness.nl/en/winkel/rotterdam/object-43039916-karel-doormanstraat-257-259/</t>
  </si>
  <si>
    <t xml:space="preserve">Schiedamsedijk 8-A, 3011 EC</t>
  </si>
  <si>
    <t xml:space="preserve">Мультифункц. винкель + склад/гараж</t>
  </si>
  <si>
    <t xml:space="preserve">1950</t>
  </si>
  <si>
    <t xml:space="preserve">Не указано</t>
  </si>
  <si>
    <t xml:space="preserve">РАСХОЖДЕНИЕ В ИСТОЧНИКЕ: заявлено 200 м² всего, но по уровням дано 80 + 90 = 170 м². 30 м² не детализированы. Нижний уровень — склад/гараж (Brandersplaats), не торговый.</t>
  </si>
  <si>
    <t xml:space="preserve">https://www.fundainbusiness.nl/en/winkel/rotterdam/object-43213501-schiedamsedijk-8-a/</t>
  </si>
  <si>
    <t xml:space="preserve">Goudsesingel 227-229, 3031 EK</t>
  </si>
  <si>
    <t xml:space="preserve">В состоянии сдачи тек. арендатором</t>
  </si>
  <si>
    <t xml:space="preserve">Большие витрины, высокие потолки. Метро Oostplein. Договор 5+5.</t>
  </si>
  <si>
    <t xml:space="preserve">https://www.fundainbusiness.nl/en/winkel/rotterdam/object-89678041-goudsesingel-227-229/</t>
  </si>
  <si>
    <t xml:space="preserve">Korte Hoogstraat 19, 3011 GK</t>
  </si>
  <si>
    <t xml:space="preserve">Винкель + шоурум, 3 уровня</t>
  </si>
  <si>
    <t xml:space="preserve">1953</t>
  </si>
  <si>
    <t xml:space="preserve">Casco / тек. состояние</t>
  </si>
  <si>
    <t xml:space="preserve">Прочие уровни = антресоль ок. 65 м². Договор 5 + 2×5. Крупный формат.</t>
  </si>
  <si>
    <t xml:space="preserve">https://www.fundainbusiness.nl/en/winkel/rotterdam/object-43523125-korte-hoogstraat-19/</t>
  </si>
  <si>
    <t xml:space="preserve">Mariniersweg 82-A, 3011 NT</t>
  </si>
  <si>
    <t xml:space="preserve">Энергометка A+++. Рядом Meent, Hoogstraat, Lijnbaan, но сама улица — транзитная магистраль.</t>
  </si>
  <si>
    <t xml:space="preserve">https://www.fundainbusiness.nl/en/winkel/rotterdam/object-89703046-mariniersweg-82-a/</t>
  </si>
  <si>
    <t xml:space="preserve">Witte de Withstraat 55-57, 3012 BM</t>
  </si>
  <si>
    <t xml:space="preserve">1876</t>
  </si>
  <si>
    <t xml:space="preserve">Хуже (дневной трафик)</t>
  </si>
  <si>
    <t xml:space="preserve">B1 (культура/хорека)</t>
  </si>
  <si>
    <t xml:space="preserve">ВАЖНО: возможна аренда частями — 145 м² 1-го эт. за €58 000/год (€400/м²) либо 145 + 75 подвал за €65 500/год (€298/м²). Частичный вариант — более близкий по размеру аналог.</t>
  </si>
  <si>
    <t xml:space="preserve">https://www.fundainbusiness.nl/en/winkel/rotterdam/object-80869534-witte-de-withstraat-55-57/</t>
  </si>
  <si>
    <t xml:space="preserve">Van Oldenbarneveltstraat 97, 3012 GS</t>
  </si>
  <si>
    <t xml:space="preserve">САМЫЙ ЖЁСТКИЙ ТЕСТ ДЛЯ НАС: 109 м² чистого 1-го этажа в ядре (kernwinkelgebied), витрина 14,5 м, за €45 600/год = €418/м². Наш 1-й этаж оценён рынком дороже — см. лист «Сводка».</t>
  </si>
  <si>
    <t xml:space="preserve">https://www.fundainbusiness.nl/en/winkel/rotterdam/object-89457010-van-oldenbarneveltstraat-97/</t>
  </si>
  <si>
    <t xml:space="preserve">Oude Binnenweg 117-119, 3012 JC</t>
  </si>
  <si>
    <t xml:space="preserve">ХОРЕКА: кафетерий / сэндвич-бар (дневная)</t>
  </si>
  <si>
    <t xml:space="preserve">1997</t>
  </si>
  <si>
    <t xml:space="preserve">С инвентарём; гудвилл €50 000</t>
  </si>
  <si>
    <t xml:space="preserve">Немного хуже (та же улица, зап. половина)</t>
  </si>
  <si>
    <t xml:space="preserve">A2 (та же улица)</t>
  </si>
  <si>
    <t xml:space="preserve">ТА ЖЕ УЛИЦА, БЛИЖАЙШИЙ ПО РАЗМЕРУ (147 м² против 161,1 м²). Прочие уровни = антресоль (vide) 18 м². Терраса 38 м². Гудвилл €50 000 сверх аренды. Лицензия только дневная, алкоголь запрещён, режим 07:00-23:00.</t>
  </si>
  <si>
    <t xml:space="preserve">https://www.fundainbusiness.nl/en/horeca/rotterdam/object-43394280-oude-binnenweg-117-119/</t>
  </si>
  <si>
    <t xml:space="preserve">Witte de Withstraat 2, 3012 BP</t>
  </si>
  <si>
    <t xml:space="preserve">1928</t>
  </si>
  <si>
    <t xml:space="preserve">Тек. состояние: пантри, с/у, потолок с АС, камеры, полы</t>
  </si>
  <si>
    <t xml:space="preserve">ВЕРОЯТНЫЙ ДУБЛЬ со строкой Schiedamse Vest 89 — совпадают площадь (401 м²), ставка (€125 000), сервис (€20/м²/год) и год (1928); разбивка 1 эт./подвал зеркально перевёрнута; угловое здание. Разные брокеры: Parc Makelaars vs KroesePaternotte. В выборке учтён ОДИН раз (эта строка).</t>
  </si>
  <si>
    <t xml:space="preserve">https://www.fundainbusiness.nl/en/winkel/rotterdam/object-43206580-witte-de-withstraat-2/</t>
  </si>
  <si>
    <t xml:space="preserve">Schiedamse Vest 89, 3012 BG</t>
  </si>
  <si>
    <t xml:space="preserve">Casco, пусто и чисто</t>
  </si>
  <si>
    <t xml:space="preserve">Свободно с 01.01.2026</t>
  </si>
  <si>
    <t xml:space="preserve">ИСКЛЮЧЁН ИЗ ВЫБОРКИ как вероятный дубль Witte de Withstraat 2 (см. примечание там). Оставлен в таблице для прозрачности.</t>
  </si>
  <si>
    <t xml:space="preserve">https://www.fundainbusiness.nl/en/winkel/rotterdam/object-43208908-schiedamse-vest-89/</t>
  </si>
  <si>
    <t xml:space="preserve">Karel Doormanstraat 320-322, 3012 GP</t>
  </si>
  <si>
    <t xml:space="preserve">БЛИЗКИЙ АНАЛОГ ПО РАЗМЕРУ (181 м², но весь — 1-й этаж, без подвала). Возможна аренда частями от 85 м² за €47 500/год. Соседи: Omoda, ARO Wonen, Kamera Express, The Cakery.</t>
  </si>
  <si>
    <t xml:space="preserve">https://www.fundainbusiness.nl/en/winkel/rotterdam/object-89795637-karel-doormanstraat-320-322/</t>
  </si>
  <si>
    <t xml:space="preserve">Oude Binnenweg 150-A, 3012 JH</t>
  </si>
  <si>
    <t xml:space="preserve">ХОРЕКА: снек-бар / кафетерий / мороженое</t>
  </si>
  <si>
    <t xml:space="preserve">до 1906</t>
  </si>
  <si>
    <t xml:space="preserve">Готово к работе (instapklaar), 3 уровня</t>
  </si>
  <si>
    <t xml:space="preserve">ТА ЖЕ УЛИЦА. Переуступка инвентаря и гудвилла за €1. Разбивка приблизительна: 140 м² всего, 120 м² торговых. Западная половина Oude Binnenweg (к Eendrachtsplein) тише восточной, где стоим мы.</t>
  </si>
  <si>
    <t xml:space="preserve">https://www.fundainbusiness.nl/en/horeca/rotterdam/object-44463783-oude-binnenweg-150-a/</t>
  </si>
  <si>
    <t xml:space="preserve">—</t>
  </si>
  <si>
    <t xml:space="preserve">Oude Binnenweg 55, 3012 JA</t>
  </si>
  <si>
    <t xml:space="preserve">Стрит-ритейл (winkel), 1 эт. + подвал</t>
  </si>
  <si>
    <t xml:space="preserve">Тек. состояние (данные клиента)</t>
  </si>
  <si>
    <t xml:space="preserve">БАЗА СРАВНЕНИЯ</t>
  </si>
  <si>
    <t xml:space="preserve">A2 (A-локация, Ooms)</t>
  </si>
  <si>
    <t xml:space="preserve">Данные клиента: 115 + 46,1 = 161,10 м². Экспозиция Ooms/iLocate по этому же адресу указывает ок. 120 + 42 = 162 м², витрина ок. 8 м, срок 10 + 2×5 лет. Пред. арендатор — Scotch &amp; Soda (сделка 2016, ок. 127 м² + 60 м² подвал).</t>
  </si>
  <si>
    <t xml:space="preserve">https://www.ilocate.nl/details/huur-rotterdam-oude-binnenweg-55-3012-ja</t>
  </si>
  <si>
    <t xml:space="preserve">Karel Doormanstraat 451-A, 3012 GH</t>
  </si>
  <si>
    <t xml:space="preserve">Praktijkruimte (меблир., all-in)</t>
  </si>
  <si>
    <t xml:space="preserve">Полностью меблировано; вкл. интернет, электр., кухню</t>
  </si>
  <si>
    <t xml:space="preserve">Свободно</t>
  </si>
  <si>
    <t xml:space="preserve">НЕ СОПОСТАВИМ: сервисный микро-кабинет 18 м² по модели all-in (€875/мес вкл. коммуналку и интернет), возможна аренда по дням. Исключён из выборки.</t>
  </si>
  <si>
    <t xml:space="preserve">https://www.fundainbusiness.nl/en/praktijkruimte/rotterdam/object-43330150-karel-doormanstraat-451-a/</t>
  </si>
  <si>
    <t xml:space="preserve">Botersloot 52-A, 3011 HJ</t>
  </si>
  <si>
    <t xml:space="preserve">Тек. состояние / casco</t>
  </si>
  <si>
    <t xml:space="preserve">ПОД ОПЦИЕЙ, с 01.09.2026</t>
  </si>
  <si>
    <t xml:space="preserve">Ближайший аналог по доле подвала (55% площади — подвал, у нас 29%). Stadsdriehoek, «Сохо Роттердама». Под опцией — ставка может не отражать закрытую сделку.</t>
  </si>
  <si>
    <t xml:space="preserve">https://www.fundainbusiness.nl/en/winkel/rotterdam/object-80866980-botersloot-52-a/</t>
  </si>
  <si>
    <t xml:space="preserve">Lijnbaan 58, 3012 EP</t>
  </si>
  <si>
    <t xml:space="preserve">ОЦЕНКА разбивки: объявление даёт 395 м² на 2 этажах без разбивки; при витрине 8 м принято ~200 м² 1-й эт. + ~195 м² 2-й эт. Прайм-локация: Uniqlo, Nike, Zara, H&amp;M, Primark. Zone-A тариф Lijnbaan (CBRE 2025) — €1 400/м²/год.</t>
  </si>
  <si>
    <t xml:space="preserve">https://www.fundainbusiness.nl/en/winkel/rotterdam/object-43305735-lijnbaan-58/</t>
  </si>
  <si>
    <t xml:space="preserve">Meent 96, 3011 JR</t>
  </si>
  <si>
    <t xml:space="preserve">1945-59</t>
  </si>
  <si>
    <t xml:space="preserve">Casco (коммуникации до счётчика, с/у, пантри)</t>
  </si>
  <si>
    <t xml:space="preserve">Лучше (оценка)</t>
  </si>
  <si>
    <t xml:space="preserve">A1 (по брокеру)</t>
  </si>
  <si>
    <t xml:space="preserve">Брокер прямо классифицирует как A1. Minervahuis. Соседи: NIKKIE, My Jewellery, Shoe Club, GASSAN. Витрина 9 м — сопоставимо с нашими 8 м.</t>
  </si>
  <si>
    <t xml:space="preserve">https://www.fundainbusiness.nl/en/winkel/rotterdam/object-89672108-meent-96/</t>
  </si>
  <si>
    <t xml:space="preserve">Meent 121, 3011 JH</t>
  </si>
  <si>
    <t xml:space="preserve">КЛЮЧЕВОЙ АНАЛОГ ПО РАЗМЕРУ: 160 м² против наших 161,1 м². Timmerhuis (муниципальный памятник). Соседи: Breitling, Aesop, Nespresso. Доля подвала 50% — выше нашей.</t>
  </si>
  <si>
    <t xml:space="preserve">https://www.fundainbusiness.nl/en/winkel/rotterdam/object-89465042-meent-121/</t>
  </si>
  <si>
    <t xml:space="preserve">СРЕДНЕЕ →</t>
  </si>
  <si>
    <t xml:space="preserve">МЕДИАНА ПО ВЫБОРКЕ</t>
  </si>
  <si>
    <t xml:space="preserve">НАШ ОБЪЕКТ — ОТКЛОНЕНИЕ ОТ МЕДИАНЫ</t>
  </si>
  <si>
    <t xml:space="preserve">Проходимость: наш объект против конкурентов</t>
  </si>
  <si>
    <t xml:space="preserve">Единственные публично измеренные величины по Роттердаму — Hoogstraat (260 000 чел./нед.) и Lijnbaan (213 000 чел./нед.) по данным RetailSonar, и Oude Binnenweg (86 000 чел./нед.) по данным Ooms. Всё остальное — экспертная оценка по классу локации, функции улицы и удалённости от ядра; такие строки помечены «оценка» и в переговорах как аргумент не используются.</t>
  </si>
  <si>
    <t xml:space="preserve">Адрес / улица</t>
  </si>
  <si>
    <t xml:space="preserve">Проходимость, чел./нед.</t>
  </si>
  <si>
    <t xml:space="preserve">Тип данных</t>
  </si>
  <si>
    <t xml:space="preserve">Индекс (наш = 100)</t>
  </si>
  <si>
    <t xml:space="preserve">Вывод против нашего объекта</t>
  </si>
  <si>
    <t xml:space="preserve">Обоснование оценки проходимости</t>
  </si>
  <si>
    <t xml:space="preserve">ИЗМЕРЕНО</t>
  </si>
  <si>
    <t xml:space="preserve">ИЗМЕРЕНО по Hoogstraat: 260 000 чел./нед. (RetailSonar, 3-е место в НЛ). Korte Hoogstraat — отрезок у входа в Koopgoot, т.е. не ниже среднего по Hoogstraat.</t>
  </si>
  <si>
    <t xml:space="preserve">То же, что и Korte Hoogstraat 9-A: измеренный поток Hoogstraat 260 000 чел./нед.</t>
  </si>
  <si>
    <t xml:space="preserve">ИЗМЕРЕНО: 213 000 чел./нед. (RetailSonar, 7-е место в НЛ). Ядро kernwinkelgebied: Uniqlo, Nike, Zara, H&amp;M, Primark.</t>
  </si>
  <si>
    <t xml:space="preserve">нет публичного замера</t>
  </si>
  <si>
    <t xml:space="preserve">ОЦЕНКА</t>
  </si>
  <si>
    <t xml:space="preserve">Оценка. Брокер прямо указывает «A1 premium town centre location». Соседи: NIKKIE, My Jewellery, GASSAN.</t>
  </si>
  <si>
    <t xml:space="preserve">Оценка. Брокер классифицирует Meent как A1. Качественная, но малоформатная улица: премиальные бренды (Breitling, Aesop, Nespresso), поток ниже Lijnbaan при более высоком чеке.</t>
  </si>
  <si>
    <t xml:space="preserve">Оценка. 500 м до Centraal Station, транзит между вокзалом и Lijnbaan высокий, но это площадь событийно-досугового назначения: поток мимо есть, витринной задержки мало.</t>
  </si>
  <si>
    <t xml:space="preserve">Оценка. Параллель Lijnbaan внутри ядра, бутиковый профиль. Поток сопоставим с нашим или чуть выше.</t>
  </si>
  <si>
    <t xml:space="preserve">БАЗА СРАВНЕНИЯ (100)</t>
  </si>
  <si>
    <t xml:space="preserve">Измерено: Ooms Makelaars, ок. 86 000 чел./нед., A-локация. Восточная (более оживлённая) половина улицы.</t>
  </si>
  <si>
    <t xml:space="preserve">Оценка. Пересекает Oude Binnenweg; отрезок ближе к ядру. Соседи: Omoda, Kamera Express, The Cakery.</t>
  </si>
  <si>
    <t xml:space="preserve">Оценка. Тот же коридор, отрезок дальше от ядра, ближе к Schouwburgplein.</t>
  </si>
  <si>
    <t xml:space="preserve">Оценка. Та же улица, западная половина; чуть ближе к ядру, чем 150-A, но дальше нас.</t>
  </si>
  <si>
    <t xml:space="preserve">Оценка. ТА ЖЕ УЛИЦА (86 000 чел./нед. в среднем), но западная половина у Eendrachtsplein — тише восточной. Мы стоим в восточной половине, у Binnenwegplein (соседи по экспозиции: ANWB 44-46, My Jewellery 57A, далее TK Maxx, MediaMarkt, Uniqlo).</t>
  </si>
  <si>
    <t xml:space="preserve">Оценка. Улица культуры и ночной жизни: галереи, бары, рестораны. Пик — вечер и выходные; дневной торговый трафик заметно ниже нашего.</t>
  </si>
  <si>
    <t xml:space="preserve">Оценка. Северный отрезок улицы, вне торгового ядра.</t>
  </si>
  <si>
    <t xml:space="preserve">Оценка. То же, отрезок дальше от Coolsingel.</t>
  </si>
  <si>
    <t xml:space="preserve">Оценка. Рядом Meent и Hoogstraat, но сама Mariniersweg — транзитная магистраль, а не витринная улица.</t>
  </si>
  <si>
    <t xml:space="preserve">Оценка. Stadsdriehoek, нишевый «Сохо Роттердама»: независимые бутики и рестораны, целевой, а не проходной поток.</t>
  </si>
  <si>
    <t xml:space="preserve">Оценка. У Oostplein/Blaak, первый этаж жилого комплекса; поток обеспечен местными жителями (Albert Heijn, Trekpleister), а не шопинг-туризмом.</t>
  </si>
  <si>
    <t xml:space="preserve">Оценка. Laurenskwartier, широкая автомобильная артерия, пешеходный поток низкий.</t>
  </si>
  <si>
    <t xml:space="preserve">Оценка. То же.</t>
  </si>
  <si>
    <t xml:space="preserve">Оценка. Транспортная артерия на краю ядра.</t>
  </si>
  <si>
    <t xml:space="preserve">Оценка. Westblaak — магистраль с интенсивным автомобильным, но не пешеходным потоком.</t>
  </si>
  <si>
    <t xml:space="preserve">Оценка. Южнее Churchillplein, вторичная локация; нижний уровень — вообще склад/гараж.</t>
  </si>
  <si>
    <t xml:space="preserve">ВЫВОД ПО ПРОХОДИМОСТИ</t>
  </si>
  <si>
    <t xml:space="preserve">•  Лучше нас — 5 объектов из 22: Lijnbaan 58 и оба лота на Korte Hoogstraat (измеренный поток в 2,5–3 раза выше нашего), плюс Meent 96 и Meent 121 (оценочно на 15% выше). Все пять — ядро kernwinkelgebied.</t>
  </si>
  <si>
    <t xml:space="preserve">•  Сопоставимо с нами — 2 объекта: Schouwburgplein 9 и Van Oldenbarneveltstraat 97 (оценочно +5%).</t>
  </si>
  <si>
    <t xml:space="preserve">•  Хуже нас — 15 объектов, то есть две трети выборки. Из них 11 — заметно хуже (индекс 40–60): Westblaak, Goudsesingel, Schiedamsedijk, Schiedamse Vest, Groenendaal, Botersloot, Witte de Withstraat.</t>
  </si>
  <si>
    <t xml:space="preserve">•  Отдельно: два объекта на НАШЕЙ улице (Oude Binnenweg 150-A и 117-119) стоят в её западной, более тихой половине. Наша позиция на улице лучше, чем у них.</t>
  </si>
  <si>
    <t xml:space="preserve">•  Практический смысл: по проходимости мы находимся в верхней трети выборки, но заметно ниже прайма. Из 22 конкурентов только 5 объективно лучше нас по потоку — и все пять просят за приведённый метр больше нашего, кроме двух крупноформатных лотов на Korte Hoogstraat, где ставку вниз тянет эффект масштаба (834 и 465 м²), а не слабость локации.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</si>
</sst>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€&quot;"/>
    <numFmt numFmtId="166" formatCode="0.00"/>
    <numFmt numFmtId="167" formatCode="#,##0.00&quot; €&quot;"/>
    <numFmt numFmtId="168" formatCode="\+0.0%;\-0.0%;0.0%"/>
    <numFmt numFmtId="169" formatCode="0.0000"/>
    <numFmt numFmtId="170" formatCode="0.000"/>
    <numFmt numFmtId="171" formatCode="0.0%"/>
    <numFmt numFmtId="172" formatCode="#,##0"/>
    <numFmt numFmtId="173" formatCode="0.0"/>
    <numFmt numFmtId="174" formatCode="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F6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7F6000"/>
      <name val="Arial"/>
      <family val="0"/>
      <charset val="1"/>
    </font>
    <font>
      <sz val="9"/>
      <color rgb="FF1E7B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2EFDA"/>
      </patternFill>
    </fill>
    <fill>
      <patternFill patternType="solid">
        <fgColor rgb="FF2E5395"/>
        <bgColor rgb="FF1F386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5.5" hidden="false" customHeight="true" outlineLevel="0" collapsed="false">
      <c r="A5" s="4" t="s">
        <v>3</v>
      </c>
      <c r="B5" s="5" t="s">
        <v>4</v>
      </c>
      <c r="C5" s="6" t="s">
        <v>5</v>
      </c>
      <c r="D5" s="6"/>
      <c r="E5" s="6"/>
      <c r="F5" s="6"/>
      <c r="G5" s="6"/>
    </row>
    <row r="6" customFormat="false" ht="15.75" hidden="false" customHeight="true" outlineLevel="0" collapsed="false">
      <c r="A6" s="4" t="s">
        <v>6</v>
      </c>
      <c r="B6" s="7" t="n">
        <f aca="false">Методика!$B$10</f>
        <v>70000</v>
      </c>
      <c r="C6" s="6" t="s">
        <v>7</v>
      </c>
      <c r="D6" s="6"/>
      <c r="E6" s="6"/>
      <c r="F6" s="6"/>
      <c r="G6" s="6"/>
    </row>
    <row r="7" customFormat="false" ht="15.75" hidden="false" customHeight="true" outlineLevel="0" collapsed="false">
      <c r="A7" s="4" t="s">
        <v>8</v>
      </c>
      <c r="B7" s="8" t="n">
        <f aca="false">Методика!$B$13</f>
        <v>161.1</v>
      </c>
      <c r="C7" s="6" t="s">
        <v>9</v>
      </c>
      <c r="D7" s="6"/>
      <c r="E7" s="6"/>
      <c r="F7" s="6"/>
      <c r="G7" s="6"/>
    </row>
    <row r="8" customFormat="false" ht="15.75" hidden="false" customHeight="true" outlineLevel="0" collapsed="false">
      <c r="A8" s="4" t="s">
        <v>10</v>
      </c>
      <c r="B8" s="7" t="n">
        <f aca="false">Все_объекты!N22</f>
        <v>434.512725015518</v>
      </c>
      <c r="C8" s="6" t="s">
        <v>11</v>
      </c>
      <c r="D8" s="6"/>
      <c r="E8" s="6"/>
      <c r="F8" s="6"/>
      <c r="G8" s="6"/>
    </row>
    <row r="9" customFormat="false" ht="25.5" hidden="false" customHeight="true" outlineLevel="0" collapsed="false">
      <c r="A9" s="4" t="s">
        <v>12</v>
      </c>
      <c r="B9" s="9" t="n">
        <f aca="false">Все_объекты!O22</f>
        <v>36.2093937512932</v>
      </c>
      <c r="C9" s="6" t="s">
        <v>13</v>
      </c>
      <c r="D9" s="6"/>
      <c r="E9" s="6"/>
      <c r="F9" s="6"/>
      <c r="G9" s="6"/>
    </row>
    <row r="10" customFormat="false" ht="15.75" hidden="false" customHeight="true" outlineLevel="0" collapsed="false">
      <c r="A10" s="4" t="s">
        <v>14</v>
      </c>
      <c r="B10" s="7" t="n">
        <f aca="false">Все_объекты!P22</f>
        <v>553.250345781466</v>
      </c>
      <c r="C10" s="6" t="s">
        <v>15</v>
      </c>
      <c r="D10" s="6"/>
      <c r="E10" s="6"/>
      <c r="F10" s="6"/>
      <c r="G10" s="6"/>
    </row>
    <row r="11" customFormat="false" ht="25.5" hidden="false" customHeight="true" outlineLevel="0" collapsed="false">
      <c r="A11" s="4" t="s">
        <v>16</v>
      </c>
      <c r="B11" s="5" t="str">
        <f aca="false">Методика!$B$19&amp;" чел./нед."</f>
        <v>86000 чел./нед.</v>
      </c>
      <c r="C11" s="6" t="s">
        <v>17</v>
      </c>
      <c r="D11" s="6"/>
      <c r="E11" s="6"/>
      <c r="F11" s="6"/>
      <c r="G11" s="6"/>
    </row>
    <row r="13" customFormat="false" ht="21.75" hidden="false" customHeight="true" outlineLevel="0" collapsed="false">
      <c r="A13" s="3" t="s">
        <v>18</v>
      </c>
      <c r="B13" s="3"/>
      <c r="C13" s="3"/>
      <c r="D13" s="3"/>
      <c r="E13" s="3"/>
      <c r="F13" s="3"/>
      <c r="G13" s="3"/>
    </row>
    <row r="14" customFormat="false" ht="15.75" hidden="false" customHeight="true" outlineLevel="0" collapsed="false">
      <c r="A14" s="4" t="s">
        <v>19</v>
      </c>
      <c r="B14" s="7" t="n">
        <f aca="false">MEDIAN(Все_объекты!Z$4:Z$27)</f>
        <v>375.215834603958</v>
      </c>
      <c r="C14" s="6"/>
      <c r="D14" s="6"/>
      <c r="E14" s="6"/>
      <c r="F14" s="6"/>
      <c r="G14" s="6"/>
    </row>
    <row r="15" customFormat="false" ht="39" hidden="false" customHeight="true" outlineLevel="0" collapsed="false">
      <c r="A15" s="10" t="s">
        <v>20</v>
      </c>
      <c r="B15" s="11" t="n">
        <f aca="false">Все_объекты!P22/MEDIAN(Все_объекты!Z$4:Z$27)-1</f>
        <v>0.474485602041353</v>
      </c>
      <c r="C15" s="6" t="s">
        <v>21</v>
      </c>
      <c r="D15" s="6"/>
      <c r="E15" s="6"/>
      <c r="F15" s="6"/>
      <c r="G15" s="6"/>
    </row>
    <row r="17" customFormat="false" ht="21.75" hidden="false" customHeight="true" outlineLevel="0" collapsed="false">
      <c r="A17" s="3" t="s">
        <v>22</v>
      </c>
      <c r="B17" s="3"/>
      <c r="C17" s="3"/>
      <c r="D17" s="3"/>
      <c r="E17" s="3"/>
      <c r="F17" s="3"/>
      <c r="G17" s="3"/>
    </row>
    <row r="18" customFormat="false" ht="15.75" hidden="false" customHeight="true" outlineLevel="0" collapsed="false">
      <c r="A18" s="4" t="s">
        <v>23</v>
      </c>
      <c r="B18" s="7" t="n">
        <f aca="false">MEDIAN(Все_объекты!AB$4:AB$27)</f>
        <v>418.348623853211</v>
      </c>
      <c r="C18" s="6"/>
      <c r="D18" s="6"/>
      <c r="E18" s="6"/>
      <c r="F18" s="6"/>
      <c r="G18" s="6"/>
    </row>
    <row r="19" customFormat="false" ht="15.75" hidden="false" customHeight="true" outlineLevel="0" collapsed="false">
      <c r="A19" s="10" t="s">
        <v>24</v>
      </c>
      <c r="B19" s="12" t="n">
        <f aca="false">Все_объекты!N22/MEDIAN(Все_объекты!AB$4:AB$27)-1</f>
        <v>0.0386378733923574</v>
      </c>
      <c r="C19" s="6" t="s">
        <v>25</v>
      </c>
      <c r="D19" s="6"/>
      <c r="E19" s="6"/>
      <c r="F19" s="6"/>
      <c r="G19" s="6"/>
    </row>
    <row r="20" customFormat="false" ht="15.75" hidden="false" customHeight="true" outlineLevel="0" collapsed="false">
      <c r="A20" s="4" t="s">
        <v>26</v>
      </c>
      <c r="B20" s="7" t="n">
        <f aca="false">MEDIAN(Все_объекты!AA$4:AA$27)</f>
        <v>418.348623853211</v>
      </c>
      <c r="C20" s="6"/>
      <c r="D20" s="6"/>
      <c r="E20" s="6"/>
      <c r="F20" s="6"/>
      <c r="G20" s="6"/>
    </row>
    <row r="21" customFormat="false" ht="39" hidden="false" customHeight="true" outlineLevel="0" collapsed="false">
      <c r="A21" s="10" t="s">
        <v>27</v>
      </c>
      <c r="B21" s="11" t="n">
        <f aca="false">Все_объекты!P22/MEDIAN(Все_объекты!AA$4:AA$27)-1</f>
        <v>0.322462449346048</v>
      </c>
      <c r="C21" s="6" t="s">
        <v>28</v>
      </c>
      <c r="D21" s="6"/>
      <c r="E21" s="6"/>
      <c r="F21" s="6"/>
      <c r="G21" s="6"/>
    </row>
    <row r="23" customFormat="false" ht="21.75" hidden="false" customHeight="true" outlineLevel="0" collapsed="false">
      <c r="A23" s="3" t="s">
        <v>29</v>
      </c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13" t="s">
        <v>30</v>
      </c>
      <c r="B24" s="13"/>
      <c r="C24" s="13"/>
      <c r="D24" s="13"/>
      <c r="E24" s="13"/>
      <c r="F24" s="13"/>
      <c r="G24" s="13"/>
    </row>
    <row r="25" customFormat="false" ht="25.5" hidden="false" customHeight="true" outlineLevel="0" collapsed="false">
      <c r="A25" s="4" t="s">
        <v>31</v>
      </c>
      <c r="B25" s="14" t="n">
        <v>6.7585</v>
      </c>
      <c r="C25" s="6" t="s">
        <v>32</v>
      </c>
      <c r="D25" s="6"/>
      <c r="E25" s="6"/>
      <c r="F25" s="6"/>
      <c r="G25" s="6"/>
    </row>
    <row r="26" customFormat="false" ht="25.5" hidden="false" customHeight="true" outlineLevel="0" collapsed="false">
      <c r="A26" s="4" t="s">
        <v>33</v>
      </c>
      <c r="B26" s="14" t="n">
        <v>-0.4594</v>
      </c>
      <c r="C26" s="6" t="s">
        <v>34</v>
      </c>
      <c r="D26" s="6"/>
      <c r="E26" s="6"/>
      <c r="F26" s="6"/>
      <c r="G26" s="6"/>
    </row>
    <row r="27" customFormat="false" ht="15.75" hidden="false" customHeight="true" outlineLevel="0" collapsed="false">
      <c r="A27" s="4" t="s">
        <v>35</v>
      </c>
      <c r="B27" s="14" t="n">
        <v>0.3862</v>
      </c>
      <c r="C27" s="6" t="s">
        <v>36</v>
      </c>
      <c r="D27" s="6"/>
      <c r="E27" s="6"/>
      <c r="F27" s="6"/>
      <c r="G27" s="6"/>
    </row>
    <row r="28" customFormat="false" ht="25.5" hidden="false" customHeight="true" outlineLevel="0" collapsed="false">
      <c r="A28" s="4" t="s">
        <v>37</v>
      </c>
      <c r="B28" s="15" t="n">
        <v>0.422</v>
      </c>
      <c r="C28" s="6" t="s">
        <v>38</v>
      </c>
      <c r="D28" s="6"/>
      <c r="E28" s="6"/>
      <c r="F28" s="6"/>
      <c r="G28" s="6"/>
    </row>
    <row r="29" customFormat="false" ht="15.75" hidden="false" customHeight="true" outlineLevel="0" collapsed="false">
      <c r="A29" s="4" t="s">
        <v>39</v>
      </c>
      <c r="B29" s="7" t="n">
        <f aca="false">EXP($B$25+$B$26*LN(Все_объекты!H22)+$B$27*LN(100))</f>
        <v>551.873375588445</v>
      </c>
      <c r="C29" s="6" t="s">
        <v>40</v>
      </c>
      <c r="D29" s="6"/>
      <c r="E29" s="6"/>
      <c r="F29" s="6"/>
      <c r="G29" s="6"/>
    </row>
    <row r="30" customFormat="false" ht="15.75" hidden="false" customHeight="true" outlineLevel="0" collapsed="false">
      <c r="A30" s="4" t="s">
        <v>41</v>
      </c>
      <c r="B30" s="7" t="n">
        <f aca="false">B29*Все_объекты!H22</f>
        <v>69825.778846328</v>
      </c>
      <c r="C30" s="6"/>
      <c r="D30" s="6"/>
      <c r="E30" s="6"/>
      <c r="F30" s="6"/>
      <c r="G30" s="6"/>
    </row>
    <row r="31" customFormat="false" ht="15.75" hidden="false" customHeight="true" outlineLevel="0" collapsed="false">
      <c r="A31" s="4" t="s">
        <v>42</v>
      </c>
      <c r="B31" s="5" t="str">
        <f aca="false">"от "&amp;TEXT($B$30*EXP(-0.34),"#,##0")&amp;" € до "&amp;TEXT($B$30*EXP(0.34),"#,##0")&amp;" €"</f>
        <v>от 49,700 € до 98,102 €</v>
      </c>
      <c r="C31" s="6" t="s">
        <v>43</v>
      </c>
      <c r="D31" s="6"/>
      <c r="E31" s="6"/>
      <c r="F31" s="6"/>
      <c r="G31" s="6"/>
    </row>
    <row r="32" customFormat="false" ht="15.75" hidden="false" customHeight="true" outlineLevel="0" collapsed="false">
      <c r="A32" s="10" t="s">
        <v>44</v>
      </c>
      <c r="B32" s="12" t="n">
        <f aca="false">Все_объекты!L22/$B$30-1</f>
        <v>0.00249508357157646</v>
      </c>
      <c r="C32" s="6" t="s">
        <v>45</v>
      </c>
      <c r="D32" s="6"/>
      <c r="E32" s="6"/>
      <c r="F32" s="6"/>
      <c r="G32" s="6"/>
    </row>
    <row r="34" customFormat="false" ht="21.75" hidden="false" customHeight="true" outlineLevel="0" collapsed="false">
      <c r="A34" s="3" t="s">
        <v>46</v>
      </c>
      <c r="B34" s="3"/>
      <c r="C34" s="3"/>
      <c r="D34" s="3"/>
      <c r="E34" s="3"/>
      <c r="F34" s="3"/>
      <c r="G34" s="3"/>
    </row>
    <row r="35" customFormat="false" ht="15.75" hidden="false" customHeight="true" outlineLevel="0" collapsed="false">
      <c r="A35" s="4" t="s">
        <v>47</v>
      </c>
      <c r="B35" s="8" t="n">
        <f aca="false">Методика!$B$11/Методика!$B$14</f>
        <v>14.375</v>
      </c>
      <c r="C35" s="6" t="s">
        <v>48</v>
      </c>
      <c r="D35" s="6"/>
      <c r="E35" s="6"/>
      <c r="F35" s="6"/>
      <c r="G35" s="6"/>
    </row>
    <row r="36" customFormat="false" ht="15.75" hidden="false" customHeight="true" outlineLevel="0" collapsed="false">
      <c r="A36" s="4" t="s">
        <v>49</v>
      </c>
      <c r="B36" s="8" t="n">
        <f aca="false">MIN($B$35,Методика!$B$15)*Методика!$B$14</f>
        <v>80</v>
      </c>
      <c r="C36" s="6" t="s">
        <v>50</v>
      </c>
      <c r="D36" s="6"/>
      <c r="E36" s="6"/>
      <c r="F36" s="6"/>
      <c r="G36" s="6"/>
    </row>
    <row r="37" customFormat="false" ht="15.75" hidden="false" customHeight="true" outlineLevel="0" collapsed="false">
      <c r="A37" s="4" t="s">
        <v>51</v>
      </c>
      <c r="B37" s="8" t="n">
        <f aca="false">MAX(0,$B$35-Методика!$B$15)*Методика!$B$14</f>
        <v>35</v>
      </c>
      <c r="C37" s="6" t="s">
        <v>52</v>
      </c>
      <c r="D37" s="6"/>
      <c r="E37" s="6"/>
      <c r="F37" s="6"/>
      <c r="G37" s="6"/>
    </row>
    <row r="38" customFormat="false" ht="15.75" hidden="false" customHeight="true" outlineLevel="0" collapsed="false">
      <c r="A38" s="4" t="s">
        <v>53</v>
      </c>
      <c r="B38" s="8" t="n">
        <f aca="false">$B$36+$B$37*Методика!$B$16+Методика!$B$12*Методика!$B$6</f>
        <v>109.025</v>
      </c>
      <c r="C38" s="6" t="s">
        <v>54</v>
      </c>
      <c r="D38" s="6"/>
      <c r="E38" s="6"/>
      <c r="F38" s="6"/>
      <c r="G38" s="6"/>
    </row>
    <row r="39" customFormat="false" ht="15.75" hidden="false" customHeight="true" outlineLevel="0" collapsed="false">
      <c r="A39" s="4" t="s">
        <v>55</v>
      </c>
      <c r="B39" s="7" t="n">
        <f aca="false">Методика!$B$10/$B$38</f>
        <v>642.054574638844</v>
      </c>
      <c r="C39" s="6"/>
      <c r="D39" s="6"/>
      <c r="E39" s="6"/>
      <c r="F39" s="6"/>
      <c r="G39" s="6"/>
    </row>
    <row r="40" customFormat="false" ht="15.75" hidden="false" customHeight="true" outlineLevel="0" collapsed="false">
      <c r="A40" s="4" t="s">
        <v>56</v>
      </c>
      <c r="B40" s="7" t="n">
        <f aca="false">Методика!$B$22</f>
        <v>1400</v>
      </c>
      <c r="C40" s="6" t="s">
        <v>57</v>
      </c>
      <c r="D40" s="6"/>
      <c r="E40" s="6"/>
      <c r="F40" s="6"/>
      <c r="G40" s="6"/>
    </row>
    <row r="41" customFormat="false" ht="15.75" hidden="false" customHeight="true" outlineLevel="0" collapsed="false">
      <c r="A41" s="4" t="s">
        <v>58</v>
      </c>
      <c r="B41" s="16" t="n">
        <f aca="false">$B$39/$B$40</f>
        <v>0.458610410456317</v>
      </c>
      <c r="C41" s="6"/>
      <c r="D41" s="6"/>
      <c r="E41" s="6"/>
      <c r="F41" s="6"/>
      <c r="G41" s="6"/>
    </row>
    <row r="42" customFormat="false" ht="25.5" hidden="false" customHeight="true" outlineLevel="0" collapsed="false">
      <c r="A42" s="10" t="s">
        <v>59</v>
      </c>
      <c r="B42" s="17" t="n">
        <f aca="false">Методика!$B$19/Методика!$B$20</f>
        <v>0.403755868544601</v>
      </c>
      <c r="C42" s="6" t="s">
        <v>60</v>
      </c>
      <c r="D42" s="6"/>
      <c r="E42" s="6"/>
      <c r="F42" s="6"/>
      <c r="G42" s="6"/>
    </row>
    <row r="44" customFormat="false" ht="21.75" hidden="false" customHeight="true" outlineLevel="0" collapsed="false">
      <c r="A44" s="3" t="s">
        <v>61</v>
      </c>
      <c r="B44" s="3"/>
      <c r="C44" s="3"/>
      <c r="D44" s="3"/>
      <c r="E44" s="3"/>
      <c r="F44" s="3"/>
      <c r="G44" s="3"/>
    </row>
    <row r="45" customFormat="false" ht="13.5" hidden="false" customHeight="true" outlineLevel="0" collapsed="false">
      <c r="A45" s="18" t="s">
        <v>62</v>
      </c>
      <c r="B45" s="18"/>
      <c r="C45" s="18"/>
      <c r="D45" s="18"/>
      <c r="E45" s="18"/>
      <c r="F45" s="18"/>
      <c r="G45" s="18"/>
    </row>
    <row r="46" customFormat="false" ht="13.5" hidden="false" customHeight="true" outlineLevel="0" collapsed="false">
      <c r="A46" s="18" t="s">
        <v>63</v>
      </c>
      <c r="B46" s="18"/>
      <c r="C46" s="18"/>
      <c r="D46" s="18"/>
      <c r="E46" s="18"/>
      <c r="F46" s="18"/>
      <c r="G46" s="18"/>
    </row>
    <row r="47" customFormat="false" ht="39" hidden="false" customHeight="true" outlineLevel="0" collapsed="false">
      <c r="A47" s="19" t="s">
        <v>64</v>
      </c>
      <c r="B47" s="19"/>
      <c r="C47" s="19"/>
      <c r="D47" s="19"/>
      <c r="E47" s="19"/>
      <c r="F47" s="19"/>
      <c r="G47" s="19"/>
    </row>
    <row r="48" customFormat="false" ht="13.5" hidden="false" customHeight="true" outlineLevel="0" collapsed="false">
      <c r="A48" s="18" t="s">
        <v>65</v>
      </c>
      <c r="B48" s="18"/>
      <c r="C48" s="18"/>
      <c r="D48" s="18"/>
      <c r="E48" s="18"/>
      <c r="F48" s="18"/>
      <c r="G48" s="18"/>
    </row>
    <row r="49" customFormat="false" ht="25.5" hidden="false" customHeight="true" outlineLevel="0" collapsed="false">
      <c r="A49" s="19" t="s">
        <v>66</v>
      </c>
      <c r="B49" s="19"/>
      <c r="C49" s="19"/>
      <c r="D49" s="19"/>
      <c r="E49" s="19"/>
      <c r="F49" s="19"/>
      <c r="G49" s="19"/>
    </row>
    <row r="50" customFormat="false" ht="13.5" hidden="false" customHeight="true" outlineLevel="0" collapsed="false">
      <c r="A50" s="18" t="s">
        <v>67</v>
      </c>
      <c r="B50" s="18"/>
      <c r="C50" s="18"/>
      <c r="D50" s="18"/>
      <c r="E50" s="18"/>
      <c r="F50" s="18"/>
      <c r="G50" s="18"/>
    </row>
    <row r="51" customFormat="false" ht="39" hidden="false" customHeight="true" outlineLevel="0" collapsed="false">
      <c r="A51" s="19" t="s">
        <v>68</v>
      </c>
      <c r="B51" s="19"/>
      <c r="C51" s="19"/>
      <c r="D51" s="19"/>
      <c r="E51" s="19"/>
      <c r="F51" s="19"/>
      <c r="G51" s="19"/>
    </row>
    <row r="52" customFormat="false" ht="13.5" hidden="false" customHeight="true" outlineLevel="0" collapsed="false">
      <c r="A52" s="18" t="s">
        <v>69</v>
      </c>
      <c r="B52" s="18"/>
      <c r="C52" s="18"/>
      <c r="D52" s="18"/>
      <c r="E52" s="18"/>
      <c r="F52" s="18"/>
      <c r="G52" s="18"/>
    </row>
    <row r="53" customFormat="false" ht="25.5" hidden="false" customHeight="true" outlineLevel="0" collapsed="false">
      <c r="A53" s="19" t="s">
        <v>70</v>
      </c>
      <c r="B53" s="19"/>
      <c r="C53" s="19"/>
      <c r="D53" s="19"/>
      <c r="E53" s="19"/>
      <c r="F53" s="19"/>
      <c r="G53" s="19"/>
    </row>
    <row r="54" customFormat="false" ht="13.5" hidden="false" customHeight="true" outlineLevel="0" collapsed="false">
      <c r="A54" s="18" t="s">
        <v>71</v>
      </c>
      <c r="B54" s="18"/>
      <c r="C54" s="18"/>
      <c r="D54" s="18"/>
      <c r="E54" s="18"/>
      <c r="F54" s="18"/>
      <c r="G54" s="18"/>
    </row>
    <row r="55" customFormat="false" ht="25.5" hidden="false" customHeight="true" outlineLevel="0" collapsed="false">
      <c r="A55" s="19" t="s">
        <v>72</v>
      </c>
      <c r="B55" s="19"/>
      <c r="C55" s="19"/>
      <c r="D55" s="19"/>
      <c r="E55" s="19"/>
      <c r="F55" s="19"/>
      <c r="G55" s="19"/>
    </row>
    <row r="56" customFormat="false" ht="13.5" hidden="false" customHeight="true" outlineLevel="0" collapsed="false">
      <c r="A56" s="18" t="s">
        <v>73</v>
      </c>
      <c r="B56" s="18"/>
      <c r="C56" s="18"/>
      <c r="D56" s="18"/>
      <c r="E56" s="18"/>
      <c r="F56" s="18"/>
      <c r="G56" s="18"/>
    </row>
    <row r="57" customFormat="false" ht="51.75" hidden="false" customHeight="true" outlineLevel="0" collapsed="false">
      <c r="A57" s="19" t="s">
        <v>74</v>
      </c>
      <c r="B57" s="19"/>
      <c r="C57" s="19"/>
      <c r="D57" s="19"/>
      <c r="E57" s="19"/>
      <c r="F57" s="19"/>
      <c r="G57" s="19"/>
    </row>
    <row r="58" customFormat="false" ht="13.5" hidden="false" customHeight="true" outlineLevel="0" collapsed="false">
      <c r="A58" s="18" t="s">
        <v>75</v>
      </c>
      <c r="B58" s="18"/>
      <c r="C58" s="18"/>
      <c r="D58" s="18"/>
      <c r="E58" s="18"/>
      <c r="F58" s="18"/>
      <c r="G58" s="18"/>
    </row>
    <row r="59" customFormat="false" ht="39" hidden="false" customHeight="true" outlineLevel="0" collapsed="false">
      <c r="A59" s="19" t="s">
        <v>76</v>
      </c>
      <c r="B59" s="19"/>
      <c r="C59" s="19"/>
      <c r="D59" s="19"/>
      <c r="E59" s="19"/>
      <c r="F59" s="19"/>
      <c r="G59" s="19"/>
    </row>
  </sheetData>
  <mergeCells count="53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A13:G13"/>
    <mergeCell ref="C14:G14"/>
    <mergeCell ref="C15:G15"/>
    <mergeCell ref="A17:G17"/>
    <mergeCell ref="C18:G18"/>
    <mergeCell ref="C19:G19"/>
    <mergeCell ref="C20:G20"/>
    <mergeCell ref="C21:G21"/>
    <mergeCell ref="A23:G23"/>
    <mergeCell ref="A24:G24"/>
    <mergeCell ref="C25:G25"/>
    <mergeCell ref="C26:G26"/>
    <mergeCell ref="C27:G27"/>
    <mergeCell ref="C28:G28"/>
    <mergeCell ref="C29:G29"/>
    <mergeCell ref="C30:G30"/>
    <mergeCell ref="C31:G31"/>
    <mergeCell ref="C32:G32"/>
    <mergeCell ref="A34:G34"/>
    <mergeCell ref="C35:G35"/>
    <mergeCell ref="C36:G36"/>
    <mergeCell ref="C37:G37"/>
    <mergeCell ref="C38:G38"/>
    <mergeCell ref="C39:G39"/>
    <mergeCell ref="C40:G40"/>
    <mergeCell ref="C41:G41"/>
    <mergeCell ref="C42:G42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4" min="3" style="0" width="60"/>
  </cols>
  <sheetData>
    <row r="1" customFormat="false" ht="30" hidden="false" customHeight="true" outlineLevel="0" collapsed="false">
      <c r="A1" s="1" t="s">
        <v>77</v>
      </c>
      <c r="B1" s="1"/>
      <c r="C1" s="1"/>
      <c r="D1" s="1"/>
    </row>
    <row r="2" customFormat="false" ht="42" hidden="false" customHeight="true" outlineLevel="0" collapsed="false">
      <c r="A2" s="2" t="s">
        <v>78</v>
      </c>
      <c r="B2" s="2"/>
      <c r="C2" s="2"/>
      <c r="D2" s="2"/>
    </row>
    <row r="4" customFormat="false" ht="19.5" hidden="false" customHeight="true" outlineLevel="0" collapsed="false">
      <c r="A4" s="3" t="s">
        <v>79</v>
      </c>
      <c r="B4" s="3"/>
      <c r="C4" s="3"/>
      <c r="D4" s="3"/>
    </row>
    <row r="5" customFormat="false" ht="15" hidden="false" customHeight="true" outlineLevel="0" collapsed="false">
      <c r="A5" s="20" t="s">
        <v>80</v>
      </c>
      <c r="B5" s="21" t="n">
        <v>1</v>
      </c>
      <c r="C5" s="22" t="s">
        <v>81</v>
      </c>
      <c r="D5" s="22"/>
    </row>
    <row r="6" customFormat="false" ht="15" hidden="false" customHeight="true" outlineLevel="0" collapsed="false">
      <c r="A6" s="20" t="s">
        <v>82</v>
      </c>
      <c r="B6" s="21" t="n">
        <v>0.25</v>
      </c>
      <c r="C6" s="22" t="s">
        <v>83</v>
      </c>
      <c r="D6" s="22"/>
    </row>
    <row r="7" customFormat="false" ht="15" hidden="false" customHeight="true" outlineLevel="0" collapsed="false">
      <c r="A7" s="20" t="s">
        <v>84</v>
      </c>
      <c r="B7" s="21" t="n">
        <v>0.35</v>
      </c>
      <c r="C7" s="22" t="s">
        <v>85</v>
      </c>
      <c r="D7" s="22"/>
    </row>
    <row r="9" customFormat="false" ht="19.5" hidden="false" customHeight="true" outlineLevel="0" collapsed="false">
      <c r="A9" s="3" t="s">
        <v>86</v>
      </c>
      <c r="B9" s="3"/>
      <c r="C9" s="3"/>
      <c r="D9" s="3"/>
    </row>
    <row r="10" customFormat="false" ht="15" hidden="false" customHeight="true" outlineLevel="0" collapsed="false">
      <c r="A10" s="20" t="s">
        <v>87</v>
      </c>
      <c r="B10" s="23" t="n">
        <v>70000</v>
      </c>
      <c r="C10" s="22" t="s">
        <v>88</v>
      </c>
      <c r="D10" s="22"/>
    </row>
    <row r="11" customFormat="false" ht="15" hidden="false" customHeight="true" outlineLevel="0" collapsed="false">
      <c r="A11" s="20" t="s">
        <v>89</v>
      </c>
      <c r="B11" s="24" t="n">
        <v>115</v>
      </c>
      <c r="C11" s="22" t="s">
        <v>90</v>
      </c>
      <c r="D11" s="22"/>
    </row>
    <row r="12" customFormat="false" ht="15" hidden="false" customHeight="true" outlineLevel="0" collapsed="false">
      <c r="A12" s="20" t="s">
        <v>91</v>
      </c>
      <c r="B12" s="24" t="n">
        <v>46.1</v>
      </c>
      <c r="C12" s="22" t="s">
        <v>90</v>
      </c>
      <c r="D12" s="22"/>
    </row>
    <row r="13" customFormat="false" ht="15" hidden="false" customHeight="true" outlineLevel="0" collapsed="false">
      <c r="A13" s="20" t="s">
        <v>92</v>
      </c>
      <c r="B13" s="21" t="n">
        <f aca="false">B11+B12</f>
        <v>161.1</v>
      </c>
      <c r="C13" s="22" t="s">
        <v>93</v>
      </c>
      <c r="D13" s="22"/>
    </row>
    <row r="14" customFormat="false" ht="15" hidden="false" customHeight="true" outlineLevel="0" collapsed="false">
      <c r="A14" s="20" t="s">
        <v>94</v>
      </c>
      <c r="B14" s="24" t="n">
        <v>8</v>
      </c>
      <c r="C14" s="22" t="s">
        <v>95</v>
      </c>
      <c r="D14" s="22"/>
    </row>
    <row r="15" customFormat="false" ht="15" hidden="false" customHeight="true" outlineLevel="0" collapsed="false">
      <c r="A15" s="20" t="s">
        <v>96</v>
      </c>
      <c r="B15" s="24" t="n">
        <v>10</v>
      </c>
      <c r="C15" s="22" t="s">
        <v>97</v>
      </c>
      <c r="D15" s="22"/>
    </row>
    <row r="16" customFormat="false" ht="15" hidden="false" customHeight="true" outlineLevel="0" collapsed="false">
      <c r="A16" s="20" t="s">
        <v>98</v>
      </c>
      <c r="B16" s="21" t="n">
        <v>0.5</v>
      </c>
      <c r="C16" s="22" t="s">
        <v>99</v>
      </c>
      <c r="D16" s="22"/>
    </row>
    <row r="18" customFormat="false" ht="19.5" hidden="false" customHeight="true" outlineLevel="0" collapsed="false">
      <c r="A18" s="3" t="s">
        <v>100</v>
      </c>
      <c r="B18" s="3"/>
      <c r="C18" s="3"/>
      <c r="D18" s="3"/>
    </row>
    <row r="19" customFormat="false" ht="15" hidden="false" customHeight="true" outlineLevel="0" collapsed="false">
      <c r="A19" s="20" t="s">
        <v>101</v>
      </c>
      <c r="B19" s="23" t="n">
        <v>86000</v>
      </c>
      <c r="C19" s="22" t="s">
        <v>102</v>
      </c>
      <c r="D19" s="22"/>
    </row>
    <row r="20" customFormat="false" ht="15" hidden="false" customHeight="true" outlineLevel="0" collapsed="false">
      <c r="A20" s="20" t="s">
        <v>103</v>
      </c>
      <c r="B20" s="23" t="n">
        <v>213000</v>
      </c>
      <c r="C20" s="22" t="s">
        <v>104</v>
      </c>
      <c r="D20" s="22"/>
    </row>
    <row r="21" customFormat="false" ht="15" hidden="false" customHeight="true" outlineLevel="0" collapsed="false">
      <c r="A21" s="20" t="s">
        <v>105</v>
      </c>
      <c r="B21" s="23" t="n">
        <v>260000</v>
      </c>
      <c r="C21" s="22" t="s">
        <v>106</v>
      </c>
      <c r="D21" s="22"/>
    </row>
    <row r="22" customFormat="false" ht="15" hidden="false" customHeight="true" outlineLevel="0" collapsed="false">
      <c r="A22" s="20" t="s">
        <v>107</v>
      </c>
      <c r="B22" s="23" t="n">
        <v>1400</v>
      </c>
      <c r="C22" s="22" t="s">
        <v>108</v>
      </c>
      <c r="D22" s="22"/>
    </row>
    <row r="24" customFormat="false" ht="19.5" hidden="false" customHeight="true" outlineLevel="0" collapsed="false">
      <c r="A24" s="3" t="s">
        <v>109</v>
      </c>
      <c r="B24" s="3"/>
      <c r="C24" s="3"/>
      <c r="D24" s="3"/>
    </row>
    <row r="25" customFormat="false" ht="27.75" hidden="false" customHeight="true" outlineLevel="0" collapsed="false">
      <c r="A25" s="25" t="s">
        <v>110</v>
      </c>
      <c r="B25" s="25"/>
      <c r="C25" s="25"/>
      <c r="D25" s="25"/>
    </row>
    <row r="26" customFormat="false" ht="55.5" hidden="false" customHeight="true" outlineLevel="0" collapsed="false">
      <c r="A26" s="25" t="s">
        <v>111</v>
      </c>
      <c r="B26" s="25"/>
      <c r="C26" s="25"/>
      <c r="D26" s="25"/>
    </row>
    <row r="27" customFormat="false" ht="13.5" hidden="false" customHeight="true" outlineLevel="0" collapsed="false">
      <c r="A27" s="25" t="s">
        <v>112</v>
      </c>
      <c r="B27" s="25"/>
      <c r="C27" s="25"/>
      <c r="D27" s="25"/>
    </row>
    <row r="28" customFormat="false" ht="55.5" hidden="false" customHeight="true" outlineLevel="0" collapsed="false">
      <c r="A28" s="25" t="s">
        <v>113</v>
      </c>
      <c r="B28" s="25"/>
      <c r="C28" s="25"/>
      <c r="D28" s="25"/>
    </row>
    <row r="29" customFormat="false" ht="42" hidden="false" customHeight="true" outlineLevel="0" collapsed="false">
      <c r="A29" s="25" t="s">
        <v>114</v>
      </c>
      <c r="B29" s="25"/>
      <c r="C29" s="25"/>
      <c r="D29" s="25"/>
    </row>
    <row r="30" customFormat="false" ht="42" hidden="false" customHeight="true" outlineLevel="0" collapsed="false">
      <c r="A30" s="25" t="s">
        <v>115</v>
      </c>
      <c r="B30" s="25"/>
      <c r="C30" s="25"/>
      <c r="D30" s="25"/>
    </row>
    <row r="32" customFormat="false" ht="19.5" hidden="false" customHeight="true" outlineLevel="0" collapsed="false">
      <c r="A32" s="3" t="s">
        <v>116</v>
      </c>
      <c r="B32" s="3"/>
      <c r="C32" s="3"/>
      <c r="D32" s="3"/>
    </row>
    <row r="33" customFormat="false" ht="39" hidden="false" customHeight="true" outlineLevel="0" collapsed="false">
      <c r="A33" s="26" t="s">
        <v>117</v>
      </c>
      <c r="B33" s="25" t="s">
        <v>118</v>
      </c>
      <c r="C33" s="25"/>
      <c r="D33" s="25"/>
    </row>
    <row r="34" customFormat="false" ht="51.75" hidden="false" customHeight="true" outlineLevel="0" collapsed="false">
      <c r="A34" s="26" t="s">
        <v>119</v>
      </c>
      <c r="B34" s="25" t="s">
        <v>120</v>
      </c>
      <c r="C34" s="25"/>
      <c r="D34" s="25"/>
    </row>
    <row r="35" customFormat="false" ht="51.75" hidden="false" customHeight="true" outlineLevel="0" collapsed="false">
      <c r="A35" s="26" t="s">
        <v>121</v>
      </c>
      <c r="B35" s="25" t="s">
        <v>122</v>
      </c>
      <c r="C35" s="25"/>
      <c r="D35" s="25"/>
    </row>
    <row r="36" customFormat="false" ht="51.75" hidden="false" customHeight="true" outlineLevel="0" collapsed="false">
      <c r="A36" s="26" t="s">
        <v>123</v>
      </c>
      <c r="B36" s="25" t="s">
        <v>124</v>
      </c>
      <c r="C36" s="25"/>
      <c r="D36" s="25"/>
    </row>
    <row r="37" customFormat="false" ht="51.75" hidden="false" customHeight="true" outlineLevel="0" collapsed="false">
      <c r="A37" s="26" t="s">
        <v>125</v>
      </c>
      <c r="B37" s="25" t="s">
        <v>126</v>
      </c>
      <c r="C37" s="25"/>
      <c r="D37" s="25"/>
    </row>
    <row r="38" customFormat="false" ht="39" hidden="false" customHeight="true" outlineLevel="0" collapsed="false">
      <c r="A38" s="26" t="s">
        <v>127</v>
      </c>
      <c r="B38" s="25" t="s">
        <v>128</v>
      </c>
      <c r="C38" s="25"/>
      <c r="D38" s="25"/>
    </row>
    <row r="39" customFormat="false" ht="25.5" hidden="false" customHeight="true" outlineLevel="0" collapsed="false">
      <c r="A39" s="26" t="s">
        <v>129</v>
      </c>
      <c r="B39" s="25" t="s">
        <v>130</v>
      </c>
      <c r="C39" s="25"/>
      <c r="D39" s="25"/>
    </row>
    <row r="40" customFormat="false" ht="25.5" hidden="false" customHeight="true" outlineLevel="0" collapsed="false">
      <c r="A40" s="26" t="s">
        <v>131</v>
      </c>
      <c r="B40" s="25" t="s">
        <v>132</v>
      </c>
      <c r="C40" s="25"/>
      <c r="D40" s="25"/>
    </row>
    <row r="41" customFormat="false" ht="39" hidden="false" customHeight="true" outlineLevel="0" collapsed="false">
      <c r="A41" s="26" t="s">
        <v>133</v>
      </c>
      <c r="B41" s="25" t="s">
        <v>134</v>
      </c>
      <c r="C41" s="25"/>
      <c r="D41" s="25"/>
    </row>
    <row r="42" customFormat="false" ht="39" hidden="false" customHeight="true" outlineLevel="0" collapsed="false">
      <c r="A42" s="26" t="s">
        <v>135</v>
      </c>
      <c r="B42" s="25" t="s">
        <v>136</v>
      </c>
      <c r="C42" s="25"/>
      <c r="D42" s="25"/>
    </row>
    <row r="44" customFormat="false" ht="19.5" hidden="false" customHeight="true" outlineLevel="0" collapsed="false">
      <c r="A44" s="3" t="s">
        <v>137</v>
      </c>
      <c r="B44" s="3"/>
      <c r="C44" s="3"/>
      <c r="D44" s="3"/>
    </row>
    <row r="45" customFormat="false" ht="25.5" hidden="false" customHeight="true" outlineLevel="0" collapsed="false">
      <c r="A45" s="25" t="s">
        <v>138</v>
      </c>
      <c r="B45" s="25"/>
      <c r="C45" s="25"/>
      <c r="D45" s="25"/>
    </row>
    <row r="46" customFormat="false" ht="25.5" hidden="false" customHeight="true" outlineLevel="0" collapsed="false">
      <c r="A46" s="25" t="s">
        <v>139</v>
      </c>
      <c r="B46" s="25"/>
      <c r="C46" s="25"/>
      <c r="D46" s="25"/>
    </row>
    <row r="47" customFormat="false" ht="25.5" hidden="false" customHeight="true" outlineLevel="0" collapsed="false">
      <c r="A47" s="25" t="s">
        <v>140</v>
      </c>
      <c r="B47" s="25"/>
      <c r="C47" s="25"/>
      <c r="D47" s="25"/>
    </row>
    <row r="48" customFormat="false" ht="25.5" hidden="false" customHeight="true" outlineLevel="0" collapsed="false">
      <c r="A48" s="25" t="s">
        <v>141</v>
      </c>
      <c r="B48" s="25"/>
      <c r="C48" s="25"/>
      <c r="D48" s="25"/>
    </row>
    <row r="49" customFormat="false" ht="25.5" hidden="false" customHeight="true" outlineLevel="0" collapsed="false">
      <c r="A49" s="25" t="s">
        <v>142</v>
      </c>
      <c r="B49" s="25"/>
      <c r="C49" s="25"/>
      <c r="D49" s="25"/>
    </row>
    <row r="50" customFormat="false" ht="12.75" hidden="false" customHeight="true" outlineLevel="0" collapsed="false">
      <c r="A50" s="25" t="s">
        <v>143</v>
      </c>
      <c r="B50" s="25"/>
      <c r="C50" s="25"/>
      <c r="D50" s="25"/>
    </row>
    <row r="51" customFormat="false" ht="25.5" hidden="false" customHeight="true" outlineLevel="0" collapsed="false">
      <c r="A51" s="25" t="s">
        <v>144</v>
      </c>
      <c r="B51" s="25"/>
      <c r="C51" s="25"/>
      <c r="D51" s="25"/>
    </row>
  </sheetData>
  <mergeCells count="45">
    <mergeCell ref="A1:D1"/>
    <mergeCell ref="A2:D2"/>
    <mergeCell ref="A4:D4"/>
    <mergeCell ref="C5:D5"/>
    <mergeCell ref="C6:D6"/>
    <mergeCell ref="C7:D7"/>
    <mergeCell ref="A9:D9"/>
    <mergeCell ref="C10:D10"/>
    <mergeCell ref="C11:D11"/>
    <mergeCell ref="C12:D12"/>
    <mergeCell ref="C13:D13"/>
    <mergeCell ref="C14:D14"/>
    <mergeCell ref="C15:D15"/>
    <mergeCell ref="C16:D16"/>
    <mergeCell ref="A18:D18"/>
    <mergeCell ref="C19:D19"/>
    <mergeCell ref="C20:D20"/>
    <mergeCell ref="C21:D21"/>
    <mergeCell ref="C22:D22"/>
    <mergeCell ref="A24:D24"/>
    <mergeCell ref="A25:D25"/>
    <mergeCell ref="A26:D26"/>
    <mergeCell ref="A27:D27"/>
    <mergeCell ref="A28:D28"/>
    <mergeCell ref="A29:D29"/>
    <mergeCell ref="A30:D30"/>
    <mergeCell ref="A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A44:D44"/>
    <mergeCell ref="A45:D45"/>
    <mergeCell ref="A46:D46"/>
    <mergeCell ref="A47:D47"/>
    <mergeCell ref="A48:D48"/>
    <mergeCell ref="A49:D49"/>
    <mergeCell ref="A50:D50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3" min="12" style="0" width="13"/>
    <col collapsed="false" customWidth="true" hidden="false" outlineLevel="0" max="16" min="14" style="0" width="1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20"/>
    <col collapsed="false" customWidth="true" hidden="false" outlineLevel="0" max="20" min="20" style="0" width="17"/>
    <col collapsed="false" customWidth="true" hidden="false" outlineLevel="0" max="21" min="21" style="0" width="20"/>
    <col collapsed="false" customWidth="true" hidden="false" outlineLevel="0" max="22" min="22" style="0" width="8"/>
    <col collapsed="false" customWidth="true" hidden="false" outlineLevel="0" max="23" min="23" style="0" width="72"/>
    <col collapsed="false" customWidth="true" hidden="false" outlineLevel="0" max="24" min="24" style="0" width="44"/>
    <col collapsed="false" customWidth="true" hidden="true" outlineLevel="0" max="28" min="25" style="0" width="13"/>
  </cols>
  <sheetData>
    <row r="1" customFormat="false" ht="30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42" hidden="false" customHeight="tru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45.75" hidden="false" customHeight="true" outlineLevel="0" collapsed="false">
      <c r="A3" s="27" t="s">
        <v>147</v>
      </c>
      <c r="B3" s="27" t="s">
        <v>3</v>
      </c>
      <c r="C3" s="27" t="s">
        <v>148</v>
      </c>
      <c r="D3" s="27" t="s">
        <v>149</v>
      </c>
      <c r="E3" s="27" t="s">
        <v>150</v>
      </c>
      <c r="F3" s="27" t="s">
        <v>151</v>
      </c>
      <c r="G3" s="27" t="s">
        <v>152</v>
      </c>
      <c r="H3" s="27" t="s">
        <v>153</v>
      </c>
      <c r="I3" s="27" t="s">
        <v>154</v>
      </c>
      <c r="J3" s="27" t="s">
        <v>155</v>
      </c>
      <c r="K3" s="27" t="s">
        <v>156</v>
      </c>
      <c r="L3" s="27" t="s">
        <v>6</v>
      </c>
      <c r="M3" s="27" t="s">
        <v>157</v>
      </c>
      <c r="N3" s="27" t="s">
        <v>158</v>
      </c>
      <c r="O3" s="27" t="s">
        <v>159</v>
      </c>
      <c r="P3" s="27" t="s">
        <v>160</v>
      </c>
      <c r="Q3" s="27" t="s">
        <v>161</v>
      </c>
      <c r="R3" s="27" t="s">
        <v>162</v>
      </c>
      <c r="S3" s="27" t="s">
        <v>163</v>
      </c>
      <c r="T3" s="27" t="s">
        <v>164</v>
      </c>
      <c r="U3" s="27" t="s">
        <v>165</v>
      </c>
      <c r="V3" s="27" t="s">
        <v>166</v>
      </c>
      <c r="W3" s="27" t="s">
        <v>167</v>
      </c>
      <c r="X3" s="27" t="s">
        <v>168</v>
      </c>
    </row>
    <row r="4" customFormat="false" ht="63.75" hidden="false" customHeight="true" outlineLevel="0" collapsed="false">
      <c r="A4" s="28" t="n">
        <v>1</v>
      </c>
      <c r="B4" s="29" t="s">
        <v>169</v>
      </c>
      <c r="C4" s="29" t="s">
        <v>170</v>
      </c>
      <c r="D4" s="30" t="n">
        <v>99</v>
      </c>
      <c r="E4" s="30"/>
      <c r="F4" s="30"/>
      <c r="G4" s="30"/>
      <c r="H4" s="30" t="str">
        <f aca="false">IF(SUM(E4:G4)=0,"",E4*Методика!$B$5+F4*Методика!$B$6+G4*Методика!$B$7)</f>
        <v/>
      </c>
      <c r="I4" s="30" t="n">
        <v>3</v>
      </c>
      <c r="J4" s="28" t="s">
        <v>171</v>
      </c>
      <c r="K4" s="29" t="s">
        <v>172</v>
      </c>
      <c r="L4" s="31" t="n">
        <v>11880</v>
      </c>
      <c r="M4" s="31" t="s">
        <v>173</v>
      </c>
      <c r="N4" s="31" t="n">
        <f aca="false">IFERROR(L4/D4,"")</f>
        <v>120</v>
      </c>
      <c r="O4" s="32" t="n">
        <f aca="false">IFERROR(N4/12,"")</f>
        <v>10</v>
      </c>
      <c r="P4" s="31" t="str">
        <f aca="false">IFERROR(L4/H4,"")</f>
        <v/>
      </c>
      <c r="Q4" s="33" t="str">
        <f aca="false">IFERROR(P4/$P$22-1,"")</f>
        <v/>
      </c>
      <c r="R4" s="34" t="n">
        <v>40</v>
      </c>
      <c r="S4" s="29" t="s">
        <v>174</v>
      </c>
      <c r="T4" s="29" t="s">
        <v>175</v>
      </c>
      <c r="U4" s="29" t="s">
        <v>176</v>
      </c>
      <c r="V4" s="28" t="n">
        <v>0</v>
      </c>
      <c r="W4" s="35" t="s">
        <v>177</v>
      </c>
      <c r="X4" s="36" t="s">
        <v>178</v>
      </c>
      <c r="Y4" s="0" t="str">
        <f aca="false">IF($V4=1,N4,"")</f>
        <v/>
      </c>
      <c r="Z4" s="0" t="str">
        <f aca="false">IF($V4=1,P4,"")</f>
        <v/>
      </c>
      <c r="AA4" s="0" t="str">
        <f aca="false">IF($V4=1,IF(AND($D4&gt;=100,$D4&lt;=210),P4,""),"")</f>
        <v/>
      </c>
      <c r="AB4" s="0" t="str">
        <f aca="false">IF($V4=1,IF(AND($D4&gt;=100,$D4&lt;=210),N4,""),"")</f>
        <v/>
      </c>
    </row>
    <row r="5" customFormat="false" ht="63.75" hidden="false" customHeight="true" outlineLevel="0" collapsed="false">
      <c r="A5" s="37" t="n">
        <v>2</v>
      </c>
      <c r="B5" s="38" t="s">
        <v>179</v>
      </c>
      <c r="C5" s="38" t="s">
        <v>180</v>
      </c>
      <c r="D5" s="39" t="n">
        <v>356</v>
      </c>
      <c r="E5" s="39" t="n">
        <v>356</v>
      </c>
      <c r="F5" s="39" t="n">
        <v>0</v>
      </c>
      <c r="G5" s="39" t="n">
        <v>0</v>
      </c>
      <c r="H5" s="39" t="n">
        <f aca="false">IF(SUM(E5:G5)=0,"",E5*Методика!$B$5+F5*Методика!$B$6+G5*Методика!$B$7)</f>
        <v>356</v>
      </c>
      <c r="I5" s="39"/>
      <c r="J5" s="37" t="s">
        <v>181</v>
      </c>
      <c r="K5" s="38" t="s">
        <v>182</v>
      </c>
      <c r="L5" s="40" t="n">
        <v>74760</v>
      </c>
      <c r="M5" s="40" t="s">
        <v>173</v>
      </c>
      <c r="N5" s="40" t="n">
        <f aca="false">IFERROR(L5/D5,"")</f>
        <v>210</v>
      </c>
      <c r="O5" s="41" t="n">
        <f aca="false">IFERROR(N5/12,"")</f>
        <v>17.5</v>
      </c>
      <c r="P5" s="40" t="n">
        <f aca="false">IFERROR(L5/H5,"")</f>
        <v>210</v>
      </c>
      <c r="Q5" s="42" t="n">
        <f aca="false">IFERROR(P5/$P$22-1,"")</f>
        <v>-0.620425</v>
      </c>
      <c r="R5" s="43" t="n">
        <v>105</v>
      </c>
      <c r="S5" s="44" t="s">
        <v>183</v>
      </c>
      <c r="T5" s="38" t="s">
        <v>184</v>
      </c>
      <c r="U5" s="38" t="s">
        <v>185</v>
      </c>
      <c r="V5" s="37" t="n">
        <v>1</v>
      </c>
      <c r="W5" s="45" t="s">
        <v>186</v>
      </c>
      <c r="X5" s="46" t="s">
        <v>187</v>
      </c>
      <c r="Y5" s="47" t="n">
        <f aca="false">IF($V5=1,N5,"")</f>
        <v>210</v>
      </c>
      <c r="Z5" s="47" t="n">
        <f aca="false">IF($V5=1,P5,"")</f>
        <v>210</v>
      </c>
      <c r="AA5" s="0" t="str">
        <f aca="false">IF($V5=1,IF(AND($D5&gt;=100,$D5&lt;=210),P5,""),"")</f>
        <v/>
      </c>
      <c r="AB5" s="0" t="str">
        <f aca="false">IF($V5=1,IF(AND($D5&gt;=100,$D5&lt;=210),N5,""),"")</f>
        <v/>
      </c>
    </row>
    <row r="6" customFormat="false" ht="63.75" hidden="false" customHeight="true" outlineLevel="0" collapsed="false">
      <c r="A6" s="37" t="n">
        <v>3</v>
      </c>
      <c r="B6" s="38" t="s">
        <v>188</v>
      </c>
      <c r="C6" s="38" t="s">
        <v>180</v>
      </c>
      <c r="D6" s="39" t="n">
        <v>468</v>
      </c>
      <c r="E6" s="39" t="n">
        <v>468</v>
      </c>
      <c r="F6" s="39" t="n">
        <v>0</v>
      </c>
      <c r="G6" s="39" t="n">
        <v>0</v>
      </c>
      <c r="H6" s="39" t="n">
        <f aca="false">IF(SUM(E6:G6)=0,"",E6*Методика!$B$5+F6*Методика!$B$6+G6*Методика!$B$7)</f>
        <v>468</v>
      </c>
      <c r="I6" s="39" t="n">
        <v>40</v>
      </c>
      <c r="J6" s="37" t="s">
        <v>181</v>
      </c>
      <c r="K6" s="38" t="s">
        <v>189</v>
      </c>
      <c r="L6" s="40" t="n">
        <v>105000</v>
      </c>
      <c r="M6" s="40" t="n">
        <v>600</v>
      </c>
      <c r="N6" s="40" t="n">
        <f aca="false">IFERROR(L6/D6,"")</f>
        <v>224.358974358974</v>
      </c>
      <c r="O6" s="41" t="n">
        <f aca="false">IFERROR(N6/12,"")</f>
        <v>18.6965811965812</v>
      </c>
      <c r="P6" s="40" t="n">
        <f aca="false">IFERROR(L6/H6,"")</f>
        <v>224.358974358974</v>
      </c>
      <c r="Q6" s="42" t="n">
        <f aca="false">IFERROR(P6/$P$22-1,"")</f>
        <v>-0.594471153846154</v>
      </c>
      <c r="R6" s="43" t="n">
        <v>45</v>
      </c>
      <c r="S6" s="48" t="s">
        <v>174</v>
      </c>
      <c r="T6" s="38" t="s">
        <v>190</v>
      </c>
      <c r="U6" s="38" t="s">
        <v>185</v>
      </c>
      <c r="V6" s="37" t="n">
        <v>1</v>
      </c>
      <c r="W6" s="45" t="s">
        <v>191</v>
      </c>
      <c r="X6" s="46" t="s">
        <v>192</v>
      </c>
      <c r="Y6" s="47" t="n">
        <f aca="false">IF($V6=1,N6,"")</f>
        <v>224.358974358974</v>
      </c>
      <c r="Z6" s="47" t="n">
        <f aca="false">IF($V6=1,P6,"")</f>
        <v>224.358974358974</v>
      </c>
      <c r="AA6" s="0" t="str">
        <f aca="false">IF($V6=1,IF(AND($D6&gt;=100,$D6&lt;=210),P6,""),"")</f>
        <v/>
      </c>
      <c r="AB6" s="0" t="str">
        <f aca="false">IF($V6=1,IF(AND($D6&gt;=100,$D6&lt;=210),N6,""),"")</f>
        <v/>
      </c>
    </row>
    <row r="7" customFormat="false" ht="63.75" hidden="false" customHeight="true" outlineLevel="0" collapsed="false">
      <c r="A7" s="37" t="n">
        <v>4</v>
      </c>
      <c r="B7" s="38" t="s">
        <v>193</v>
      </c>
      <c r="C7" s="38" t="s">
        <v>194</v>
      </c>
      <c r="D7" s="39" t="n">
        <v>136</v>
      </c>
      <c r="E7" s="39" t="n">
        <v>100</v>
      </c>
      <c r="F7" s="39" t="n">
        <v>36</v>
      </c>
      <c r="G7" s="39" t="n">
        <v>0</v>
      </c>
      <c r="H7" s="39" t="n">
        <f aca="false">IF(SUM(E7:G7)=0,"",E7*Методика!$B$5+F7*Методика!$B$6+G7*Методика!$B$7)</f>
        <v>109</v>
      </c>
      <c r="I7" s="39" t="n">
        <v>6.9</v>
      </c>
      <c r="J7" s="37" t="s">
        <v>195</v>
      </c>
      <c r="K7" s="38" t="s">
        <v>196</v>
      </c>
      <c r="L7" s="40" t="n">
        <v>30000</v>
      </c>
      <c r="M7" s="40" t="s">
        <v>173</v>
      </c>
      <c r="N7" s="40" t="n">
        <f aca="false">IFERROR(L7/D7,"")</f>
        <v>220.588235294118</v>
      </c>
      <c r="O7" s="41" t="n">
        <f aca="false">IFERROR(N7/12,"")</f>
        <v>18.3823529411765</v>
      </c>
      <c r="P7" s="40" t="n">
        <f aca="false">IFERROR(L7/H7,"")</f>
        <v>275.229357798165</v>
      </c>
      <c r="Q7" s="42" t="n">
        <f aca="false">IFERROR(P7/$P$22-1,"")</f>
        <v>-0.502522935779816</v>
      </c>
      <c r="R7" s="43" t="n">
        <v>45</v>
      </c>
      <c r="S7" s="48" t="s">
        <v>174</v>
      </c>
      <c r="T7" s="38" t="s">
        <v>190</v>
      </c>
      <c r="U7" s="38" t="s">
        <v>197</v>
      </c>
      <c r="V7" s="37" t="n">
        <v>1</v>
      </c>
      <c r="W7" s="45" t="s">
        <v>198</v>
      </c>
      <c r="X7" s="46" t="s">
        <v>199</v>
      </c>
      <c r="Y7" s="47" t="n">
        <f aca="false">IF($V7=1,N7,"")</f>
        <v>220.588235294118</v>
      </c>
      <c r="Z7" s="47" t="n">
        <f aca="false">IF($V7=1,P7,"")</f>
        <v>275.229357798165</v>
      </c>
      <c r="AA7" s="47" t="n">
        <f aca="false">IF($V7=1,IF(AND($D7&gt;=100,$D7&lt;=210),P7,""),"")</f>
        <v>275.229357798165</v>
      </c>
      <c r="AB7" s="47" t="n">
        <f aca="false">IF($V7=1,IF(AND($D7&gt;=100,$D7&lt;=210),N7,""),"")</f>
        <v>220.588235294118</v>
      </c>
    </row>
    <row r="8" customFormat="false" ht="63.75" hidden="false" customHeight="true" outlineLevel="0" collapsed="false">
      <c r="A8" s="37" t="n">
        <v>5</v>
      </c>
      <c r="B8" s="38" t="s">
        <v>200</v>
      </c>
      <c r="C8" s="38" t="s">
        <v>180</v>
      </c>
      <c r="D8" s="39" t="n">
        <v>134</v>
      </c>
      <c r="E8" s="39" t="n">
        <v>134</v>
      </c>
      <c r="F8" s="39" t="n">
        <v>0</v>
      </c>
      <c r="G8" s="39" t="n">
        <v>0</v>
      </c>
      <c r="H8" s="39" t="n">
        <f aca="false">IF(SUM(E8:G8)=0,"",E8*Методика!$B$5+F8*Методика!$B$6+G8*Методика!$B$7)</f>
        <v>134</v>
      </c>
      <c r="I8" s="39"/>
      <c r="J8" s="37" t="s">
        <v>201</v>
      </c>
      <c r="K8" s="38" t="s">
        <v>182</v>
      </c>
      <c r="L8" s="40" t="n">
        <v>37500</v>
      </c>
      <c r="M8" s="40" t="n">
        <v>5025</v>
      </c>
      <c r="N8" s="40" t="n">
        <f aca="false">IFERROR(L8/D8,"")</f>
        <v>279.850746268657</v>
      </c>
      <c r="O8" s="41" t="n">
        <f aca="false">IFERROR(N8/12,"")</f>
        <v>23.3208955223881</v>
      </c>
      <c r="P8" s="40" t="n">
        <f aca="false">IFERROR(L8/H8,"")</f>
        <v>279.850746268657</v>
      </c>
      <c r="Q8" s="42" t="n">
        <f aca="false">IFERROR(P8/$P$22-1,"")</f>
        <v>-0.494169776119403</v>
      </c>
      <c r="R8" s="43" t="n">
        <v>40</v>
      </c>
      <c r="S8" s="48" t="s">
        <v>174</v>
      </c>
      <c r="T8" s="38" t="s">
        <v>175</v>
      </c>
      <c r="U8" s="38" t="s">
        <v>176</v>
      </c>
      <c r="V8" s="37" t="n">
        <v>1</v>
      </c>
      <c r="W8" s="45" t="s">
        <v>202</v>
      </c>
      <c r="X8" s="46" t="s">
        <v>203</v>
      </c>
      <c r="Y8" s="47" t="n">
        <f aca="false">IF($V8=1,N8,"")</f>
        <v>279.850746268657</v>
      </c>
      <c r="Z8" s="47" t="n">
        <f aca="false">IF($V8=1,P8,"")</f>
        <v>279.850746268657</v>
      </c>
      <c r="AA8" s="47" t="n">
        <f aca="false">IF($V8=1,IF(AND($D8&gt;=100,$D8&lt;=210),P8,""),"")</f>
        <v>279.850746268657</v>
      </c>
      <c r="AB8" s="47" t="n">
        <f aca="false">IF($V8=1,IF(AND($D8&gt;=100,$D8&lt;=210),N8,""),"")</f>
        <v>279.850746268657</v>
      </c>
    </row>
    <row r="9" customFormat="false" ht="63.75" hidden="false" customHeight="true" outlineLevel="0" collapsed="false">
      <c r="A9" s="37" t="n">
        <v>6</v>
      </c>
      <c r="B9" s="38" t="s">
        <v>204</v>
      </c>
      <c r="C9" s="38" t="s">
        <v>205</v>
      </c>
      <c r="D9" s="39" t="n">
        <v>834</v>
      </c>
      <c r="E9" s="39" t="n">
        <v>476</v>
      </c>
      <c r="F9" s="39" t="n">
        <v>358</v>
      </c>
      <c r="G9" s="39" t="n">
        <v>0</v>
      </c>
      <c r="H9" s="39" t="n">
        <f aca="false">IF(SUM(E9:G9)=0,"",E9*Методика!$B$5+F9*Методика!$B$6+G9*Методика!$B$7)</f>
        <v>565.5</v>
      </c>
      <c r="I9" s="39" t="n">
        <v>10</v>
      </c>
      <c r="J9" s="37" t="s">
        <v>206</v>
      </c>
      <c r="K9" s="38" t="s">
        <v>182</v>
      </c>
      <c r="L9" s="40" t="n">
        <v>171000</v>
      </c>
      <c r="M9" s="40" t="s">
        <v>173</v>
      </c>
      <c r="N9" s="40" t="n">
        <f aca="false">IFERROR(L9/D9,"")</f>
        <v>205.035971223022</v>
      </c>
      <c r="O9" s="41" t="n">
        <f aca="false">IFERROR(N9/12,"")</f>
        <v>17.0863309352518</v>
      </c>
      <c r="P9" s="40" t="n">
        <f aca="false">IFERROR(L9/H9,"")</f>
        <v>302.387267904509</v>
      </c>
      <c r="Q9" s="42" t="n">
        <f aca="false">IFERROR(P9/$P$22-1,"")</f>
        <v>-0.4534350132626</v>
      </c>
      <c r="R9" s="43" t="n">
        <v>300</v>
      </c>
      <c r="S9" s="49" t="s">
        <v>207</v>
      </c>
      <c r="T9" s="38" t="s">
        <v>208</v>
      </c>
      <c r="U9" s="38" t="s">
        <v>185</v>
      </c>
      <c r="V9" s="37" t="n">
        <v>1</v>
      </c>
      <c r="W9" s="45" t="s">
        <v>209</v>
      </c>
      <c r="X9" s="46" t="s">
        <v>210</v>
      </c>
      <c r="Y9" s="47" t="n">
        <f aca="false">IF($V9=1,N9,"")</f>
        <v>205.035971223022</v>
      </c>
      <c r="Z9" s="47" t="n">
        <f aca="false">IF($V9=1,P9,"")</f>
        <v>302.387267904509</v>
      </c>
      <c r="AA9" s="0" t="str">
        <f aca="false">IF($V9=1,IF(AND($D9&gt;=100,$D9&lt;=210),P9,""),"")</f>
        <v/>
      </c>
      <c r="AB9" s="0" t="str">
        <f aca="false">IF($V9=1,IF(AND($D9&gt;=100,$D9&lt;=210),N9,""),"")</f>
        <v/>
      </c>
    </row>
    <row r="10" customFormat="false" ht="63.75" hidden="false" customHeight="true" outlineLevel="0" collapsed="false">
      <c r="A10" s="37" t="n">
        <v>7</v>
      </c>
      <c r="B10" s="38" t="s">
        <v>211</v>
      </c>
      <c r="C10" s="38" t="s">
        <v>212</v>
      </c>
      <c r="D10" s="39" t="n">
        <v>491</v>
      </c>
      <c r="E10" s="39" t="n">
        <v>491</v>
      </c>
      <c r="F10" s="39" t="n">
        <v>0</v>
      </c>
      <c r="G10" s="39" t="n">
        <v>0</v>
      </c>
      <c r="H10" s="39" t="n">
        <f aca="false">IF(SUM(E10:G10)=0,"",E10*Методика!$B$5+F10*Методика!$B$6+G10*Методика!$B$7)</f>
        <v>491</v>
      </c>
      <c r="I10" s="39" t="n">
        <v>37</v>
      </c>
      <c r="J10" s="37" t="s">
        <v>213</v>
      </c>
      <c r="K10" s="38" t="s">
        <v>214</v>
      </c>
      <c r="L10" s="40" t="n">
        <v>150000</v>
      </c>
      <c r="M10" s="40" t="s">
        <v>173</v>
      </c>
      <c r="N10" s="40" t="n">
        <f aca="false">IFERROR(L10/D10,"")</f>
        <v>305.498981670061</v>
      </c>
      <c r="O10" s="41" t="n">
        <f aca="false">IFERROR(N10/12,"")</f>
        <v>25.4582484725051</v>
      </c>
      <c r="P10" s="40" t="n">
        <f aca="false">IFERROR(L10/H10,"")</f>
        <v>305.498981670061</v>
      </c>
      <c r="Q10" s="42" t="n">
        <f aca="false">IFERROR(P10/$P$22-1,"")</f>
        <v>-0.447810590631365</v>
      </c>
      <c r="R10" s="43" t="n">
        <v>80</v>
      </c>
      <c r="S10" s="44" t="s">
        <v>215</v>
      </c>
      <c r="T10" s="38" t="s">
        <v>216</v>
      </c>
      <c r="U10" s="38" t="s">
        <v>185</v>
      </c>
      <c r="V10" s="37" t="n">
        <v>1</v>
      </c>
      <c r="W10" s="45" t="s">
        <v>217</v>
      </c>
      <c r="X10" s="46" t="s">
        <v>218</v>
      </c>
      <c r="Y10" s="47" t="n">
        <f aca="false">IF($V10=1,N10,"")</f>
        <v>305.498981670061</v>
      </c>
      <c r="Z10" s="47" t="n">
        <f aca="false">IF($V10=1,P10,"")</f>
        <v>305.498981670061</v>
      </c>
      <c r="AA10" s="0" t="str">
        <f aca="false">IF($V10=1,IF(AND($D10&gt;=100,$D10&lt;=210),P10,""),"")</f>
        <v/>
      </c>
      <c r="AB10" s="0" t="str">
        <f aca="false">IF($V10=1,IF(AND($D10&gt;=100,$D10&lt;=210),N10,""),"")</f>
        <v/>
      </c>
    </row>
    <row r="11" customFormat="false" ht="63.75" hidden="false" customHeight="true" outlineLevel="0" collapsed="false">
      <c r="A11" s="37" t="n">
        <v>8</v>
      </c>
      <c r="B11" s="38" t="s">
        <v>219</v>
      </c>
      <c r="C11" s="38" t="s">
        <v>220</v>
      </c>
      <c r="D11" s="39" t="n">
        <v>200</v>
      </c>
      <c r="E11" s="39" t="n">
        <v>80</v>
      </c>
      <c r="F11" s="39" t="n">
        <v>90</v>
      </c>
      <c r="G11" s="39" t="n">
        <v>0</v>
      </c>
      <c r="H11" s="39" t="n">
        <f aca="false">IF(SUM(E11:G11)=0,"",E11*Методика!$B$5+F11*Методика!$B$6+G11*Методика!$B$7)</f>
        <v>102.5</v>
      </c>
      <c r="I11" s="39"/>
      <c r="J11" s="37" t="s">
        <v>221</v>
      </c>
      <c r="K11" s="38" t="s">
        <v>222</v>
      </c>
      <c r="L11" s="40" t="n">
        <v>36000</v>
      </c>
      <c r="M11" s="40" t="n">
        <v>0</v>
      </c>
      <c r="N11" s="40" t="n">
        <f aca="false">IFERROR(L11/D11,"")</f>
        <v>180</v>
      </c>
      <c r="O11" s="41" t="n">
        <f aca="false">IFERROR(N11/12,"")</f>
        <v>15</v>
      </c>
      <c r="P11" s="40" t="n">
        <f aca="false">IFERROR(L11/H11,"")</f>
        <v>351.219512195122</v>
      </c>
      <c r="Q11" s="42" t="n">
        <f aca="false">IFERROR(P11/$P$22-1,"")</f>
        <v>-0.365170731707317</v>
      </c>
      <c r="R11" s="43" t="n">
        <v>40</v>
      </c>
      <c r="S11" s="48" t="s">
        <v>174</v>
      </c>
      <c r="T11" s="38" t="s">
        <v>175</v>
      </c>
      <c r="U11" s="38" t="s">
        <v>185</v>
      </c>
      <c r="V11" s="37" t="n">
        <v>1</v>
      </c>
      <c r="W11" s="45" t="s">
        <v>223</v>
      </c>
      <c r="X11" s="46" t="s">
        <v>224</v>
      </c>
      <c r="Y11" s="47" t="n">
        <f aca="false">IF($V11=1,N11,"")</f>
        <v>180</v>
      </c>
      <c r="Z11" s="47" t="n">
        <f aca="false">IF($V11=1,P11,"")</f>
        <v>351.219512195122</v>
      </c>
      <c r="AA11" s="47" t="n">
        <f aca="false">IF($V11=1,IF(AND($D11&gt;=100,$D11&lt;=210),P11,""),"")</f>
        <v>351.219512195122</v>
      </c>
      <c r="AB11" s="47" t="n">
        <f aca="false">IF($V11=1,IF(AND($D11&gt;=100,$D11&lt;=210),N11,""),"")</f>
        <v>180</v>
      </c>
    </row>
    <row r="12" customFormat="false" ht="63.75" hidden="false" customHeight="true" outlineLevel="0" collapsed="false">
      <c r="A12" s="37" t="n">
        <v>9</v>
      </c>
      <c r="B12" s="38" t="s">
        <v>225</v>
      </c>
      <c r="C12" s="38" t="s">
        <v>180</v>
      </c>
      <c r="D12" s="39" t="n">
        <v>335</v>
      </c>
      <c r="E12" s="39" t="n">
        <v>265</v>
      </c>
      <c r="F12" s="39" t="n">
        <v>70</v>
      </c>
      <c r="G12" s="39" t="n">
        <v>0</v>
      </c>
      <c r="H12" s="39" t="n">
        <f aca="false">IF(SUM(E12:G12)=0,"",E12*Методика!$B$5+F12*Методика!$B$6+G12*Методика!$B$7)</f>
        <v>282.5</v>
      </c>
      <c r="I12" s="39"/>
      <c r="J12" s="37" t="s">
        <v>206</v>
      </c>
      <c r="K12" s="38" t="s">
        <v>226</v>
      </c>
      <c r="L12" s="40" t="n">
        <v>99500</v>
      </c>
      <c r="M12" s="40" t="s">
        <v>173</v>
      </c>
      <c r="N12" s="40" t="n">
        <f aca="false">IFERROR(L12/D12,"")</f>
        <v>297.014925373134</v>
      </c>
      <c r="O12" s="41" t="n">
        <f aca="false">IFERROR(N12/12,"")</f>
        <v>24.7512437810945</v>
      </c>
      <c r="P12" s="40" t="n">
        <f aca="false">IFERROR(L12/H12,"")</f>
        <v>352.212389380531</v>
      </c>
      <c r="Q12" s="42" t="n">
        <f aca="false">IFERROR(P12/$P$22-1,"")</f>
        <v>-0.36337610619469</v>
      </c>
      <c r="R12" s="43" t="n">
        <v>45</v>
      </c>
      <c r="S12" s="48" t="s">
        <v>174</v>
      </c>
      <c r="T12" s="38" t="s">
        <v>190</v>
      </c>
      <c r="U12" s="38" t="s">
        <v>185</v>
      </c>
      <c r="V12" s="37" t="n">
        <v>1</v>
      </c>
      <c r="W12" s="45" t="s">
        <v>227</v>
      </c>
      <c r="X12" s="46" t="s">
        <v>228</v>
      </c>
      <c r="Y12" s="47" t="n">
        <f aca="false">IF($V12=1,N12,"")</f>
        <v>297.014925373134</v>
      </c>
      <c r="Z12" s="47" t="n">
        <f aca="false">IF($V12=1,P12,"")</f>
        <v>352.212389380531</v>
      </c>
      <c r="AA12" s="0" t="str">
        <f aca="false">IF($V12=1,IF(AND($D12&gt;=100,$D12&lt;=210),P12,""),"")</f>
        <v/>
      </c>
      <c r="AB12" s="0" t="str">
        <f aca="false">IF($V12=1,IF(AND($D12&gt;=100,$D12&lt;=210),N12,""),"")</f>
        <v/>
      </c>
    </row>
    <row r="13" customFormat="false" ht="63.75" hidden="false" customHeight="true" outlineLevel="0" collapsed="false">
      <c r="A13" s="37" t="n">
        <v>10</v>
      </c>
      <c r="B13" s="38" t="s">
        <v>229</v>
      </c>
      <c r="C13" s="38" t="s">
        <v>230</v>
      </c>
      <c r="D13" s="39" t="n">
        <v>465</v>
      </c>
      <c r="E13" s="39" t="n">
        <v>235</v>
      </c>
      <c r="F13" s="39" t="n">
        <v>165</v>
      </c>
      <c r="G13" s="39" t="n">
        <v>65</v>
      </c>
      <c r="H13" s="39" t="n">
        <f aca="false">IF(SUM(E13:G13)=0,"",E13*Методика!$B$5+F13*Методика!$B$6+G13*Методика!$B$7)</f>
        <v>299</v>
      </c>
      <c r="I13" s="39"/>
      <c r="J13" s="37" t="s">
        <v>231</v>
      </c>
      <c r="K13" s="38" t="s">
        <v>232</v>
      </c>
      <c r="L13" s="40" t="n">
        <v>107400</v>
      </c>
      <c r="M13" s="40" t="s">
        <v>173</v>
      </c>
      <c r="N13" s="40" t="n">
        <f aca="false">IFERROR(L13/D13,"")</f>
        <v>230.967741935484</v>
      </c>
      <c r="O13" s="41" t="n">
        <f aca="false">IFERROR(N13/12,"")</f>
        <v>19.247311827957</v>
      </c>
      <c r="P13" s="40" t="n">
        <f aca="false">IFERROR(L13/H13,"")</f>
        <v>359.197324414716</v>
      </c>
      <c r="Q13" s="42" t="n">
        <f aca="false">IFERROR(P13/$P$22-1,"")</f>
        <v>-0.350750836120401</v>
      </c>
      <c r="R13" s="43" t="n">
        <v>300</v>
      </c>
      <c r="S13" s="49" t="s">
        <v>207</v>
      </c>
      <c r="T13" s="38" t="s">
        <v>208</v>
      </c>
      <c r="U13" s="38" t="s">
        <v>185</v>
      </c>
      <c r="V13" s="37" t="n">
        <v>1</v>
      </c>
      <c r="W13" s="45" t="s">
        <v>233</v>
      </c>
      <c r="X13" s="46" t="s">
        <v>234</v>
      </c>
      <c r="Y13" s="47" t="n">
        <f aca="false">IF($V13=1,N13,"")</f>
        <v>230.967741935484</v>
      </c>
      <c r="Z13" s="47" t="n">
        <f aca="false">IF($V13=1,P13,"")</f>
        <v>359.197324414716</v>
      </c>
      <c r="AA13" s="0" t="str">
        <f aca="false">IF($V13=1,IF(AND($D13&gt;=100,$D13&lt;=210),P13,""),"")</f>
        <v/>
      </c>
      <c r="AB13" s="0" t="str">
        <f aca="false">IF($V13=1,IF(AND($D13&gt;=100,$D13&lt;=210),N13,""),"")</f>
        <v/>
      </c>
    </row>
    <row r="14" customFormat="false" ht="63.75" hidden="false" customHeight="true" outlineLevel="0" collapsed="false">
      <c r="A14" s="37" t="n">
        <v>11</v>
      </c>
      <c r="B14" s="38" t="s">
        <v>235</v>
      </c>
      <c r="C14" s="38" t="s">
        <v>180</v>
      </c>
      <c r="D14" s="39" t="n">
        <v>182.51</v>
      </c>
      <c r="E14" s="39" t="n">
        <v>152.76</v>
      </c>
      <c r="F14" s="39" t="n">
        <v>29.75</v>
      </c>
      <c r="G14" s="39" t="n">
        <v>0</v>
      </c>
      <c r="H14" s="39" t="n">
        <f aca="false">IF(SUM(E14:G14)=0,"",E14*Методика!$B$5+F14*Методика!$B$6+G14*Методика!$B$7)</f>
        <v>160.1975</v>
      </c>
      <c r="I14" s="39"/>
      <c r="J14" s="37" t="s">
        <v>195</v>
      </c>
      <c r="K14" s="38" t="s">
        <v>182</v>
      </c>
      <c r="L14" s="40" t="n">
        <v>59900</v>
      </c>
      <c r="M14" s="40" t="s">
        <v>173</v>
      </c>
      <c r="N14" s="40" t="n">
        <f aca="false">IFERROR(L14/D14,"")</f>
        <v>328.201194455098</v>
      </c>
      <c r="O14" s="41" t="n">
        <f aca="false">IFERROR(N14/12,"")</f>
        <v>27.3500995379249</v>
      </c>
      <c r="P14" s="40" t="n">
        <f aca="false">IFERROR(L14/H14,"")</f>
        <v>373.913450584435</v>
      </c>
      <c r="Q14" s="42" t="n">
        <f aca="false">IFERROR(P14/$P$22-1,"")</f>
        <v>-0.324151438068634</v>
      </c>
      <c r="R14" s="43" t="n">
        <v>60</v>
      </c>
      <c r="S14" s="48" t="s">
        <v>174</v>
      </c>
      <c r="T14" s="38" t="s">
        <v>190</v>
      </c>
      <c r="U14" s="38" t="s">
        <v>185</v>
      </c>
      <c r="V14" s="37" t="n">
        <v>1</v>
      </c>
      <c r="W14" s="45" t="s">
        <v>236</v>
      </c>
      <c r="X14" s="46" t="s">
        <v>237</v>
      </c>
      <c r="Y14" s="47" t="n">
        <f aca="false">IF($V14=1,N14,"")</f>
        <v>328.201194455098</v>
      </c>
      <c r="Z14" s="47" t="n">
        <f aca="false">IF($V14=1,P14,"")</f>
        <v>373.913450584435</v>
      </c>
      <c r="AA14" s="47" t="n">
        <f aca="false">IF($V14=1,IF(AND($D14&gt;=100,$D14&lt;=210),P14,""),"")</f>
        <v>373.913450584435</v>
      </c>
      <c r="AB14" s="47" t="n">
        <f aca="false">IF($V14=1,IF(AND($D14&gt;=100,$D14&lt;=210),N14,""),"")</f>
        <v>328.201194455098</v>
      </c>
    </row>
    <row r="15" customFormat="false" ht="63.75" hidden="false" customHeight="true" outlineLevel="0" collapsed="false">
      <c r="A15" s="37" t="n">
        <v>12</v>
      </c>
      <c r="B15" s="38" t="s">
        <v>238</v>
      </c>
      <c r="C15" s="38" t="s">
        <v>180</v>
      </c>
      <c r="D15" s="39" t="n">
        <v>365</v>
      </c>
      <c r="E15" s="39" t="n">
        <v>290</v>
      </c>
      <c r="F15" s="39" t="n">
        <v>75</v>
      </c>
      <c r="G15" s="39" t="n">
        <v>0</v>
      </c>
      <c r="H15" s="39" t="n">
        <f aca="false">IF(SUM(E15:G15)=0,"",E15*Методика!$B$5+F15*Методика!$B$6+G15*Методика!$B$7)</f>
        <v>308.75</v>
      </c>
      <c r="I15" s="39"/>
      <c r="J15" s="37" t="s">
        <v>239</v>
      </c>
      <c r="K15" s="38" t="s">
        <v>182</v>
      </c>
      <c r="L15" s="40" t="n">
        <v>116250</v>
      </c>
      <c r="M15" s="40" t="s">
        <v>173</v>
      </c>
      <c r="N15" s="40" t="n">
        <f aca="false">IFERROR(L15/D15,"")</f>
        <v>318.493150684932</v>
      </c>
      <c r="O15" s="41" t="n">
        <f aca="false">IFERROR(N15/12,"")</f>
        <v>26.541095890411</v>
      </c>
      <c r="P15" s="40" t="n">
        <f aca="false">IFERROR(L15/H15,"")</f>
        <v>376.518218623482</v>
      </c>
      <c r="Q15" s="42" t="n">
        <f aca="false">IFERROR(P15/$P$22-1,"")</f>
        <v>-0.319443319838057</v>
      </c>
      <c r="R15" s="43" t="n">
        <v>65</v>
      </c>
      <c r="S15" s="48" t="s">
        <v>240</v>
      </c>
      <c r="T15" s="38" t="s">
        <v>241</v>
      </c>
      <c r="U15" s="38" t="s">
        <v>185</v>
      </c>
      <c r="V15" s="37" t="n">
        <v>1</v>
      </c>
      <c r="W15" s="45" t="s">
        <v>242</v>
      </c>
      <c r="X15" s="46" t="s">
        <v>243</v>
      </c>
      <c r="Y15" s="47" t="n">
        <f aca="false">IF($V15=1,N15,"")</f>
        <v>318.493150684932</v>
      </c>
      <c r="Z15" s="47" t="n">
        <f aca="false">IF($V15=1,P15,"")</f>
        <v>376.518218623482</v>
      </c>
      <c r="AA15" s="0" t="str">
        <f aca="false">IF($V15=1,IF(AND($D15&gt;=100,$D15&lt;=210),P15,""),"")</f>
        <v/>
      </c>
      <c r="AB15" s="0" t="str">
        <f aca="false">IF($V15=1,IF(AND($D15&gt;=100,$D15&lt;=210),N15,""),"")</f>
        <v/>
      </c>
    </row>
    <row r="16" customFormat="false" ht="63.75" hidden="false" customHeight="true" outlineLevel="0" collapsed="false">
      <c r="A16" s="37" t="n">
        <v>13</v>
      </c>
      <c r="B16" s="38" t="s">
        <v>244</v>
      </c>
      <c r="C16" s="38" t="s">
        <v>180</v>
      </c>
      <c r="D16" s="39" t="n">
        <v>109</v>
      </c>
      <c r="E16" s="39" t="n">
        <v>109</v>
      </c>
      <c r="F16" s="39" t="n">
        <v>0</v>
      </c>
      <c r="G16" s="39" t="n">
        <v>0</v>
      </c>
      <c r="H16" s="39" t="n">
        <f aca="false">IF(SUM(E16:G16)=0,"",E16*Методика!$B$5+F16*Методика!$B$6+G16*Методика!$B$7)</f>
        <v>109</v>
      </c>
      <c r="I16" s="39" t="n">
        <v>14.5</v>
      </c>
      <c r="J16" s="37" t="s">
        <v>213</v>
      </c>
      <c r="K16" s="38" t="s">
        <v>182</v>
      </c>
      <c r="L16" s="40" t="n">
        <v>45600</v>
      </c>
      <c r="M16" s="40" t="n">
        <v>3300</v>
      </c>
      <c r="N16" s="40" t="n">
        <f aca="false">IFERROR(L16/D16,"")</f>
        <v>418.348623853211</v>
      </c>
      <c r="O16" s="41" t="n">
        <f aca="false">IFERROR(N16/12,"")</f>
        <v>34.8623853211009</v>
      </c>
      <c r="P16" s="40" t="n">
        <f aca="false">IFERROR(L16/H16,"")</f>
        <v>418.348623853211</v>
      </c>
      <c r="Q16" s="42" t="n">
        <f aca="false">IFERROR(P16/$P$22-1,"")</f>
        <v>-0.243834862385321</v>
      </c>
      <c r="R16" s="43" t="n">
        <v>105</v>
      </c>
      <c r="S16" s="44" t="s">
        <v>183</v>
      </c>
      <c r="T16" s="38" t="s">
        <v>184</v>
      </c>
      <c r="U16" s="38" t="s">
        <v>185</v>
      </c>
      <c r="V16" s="37" t="n">
        <v>1</v>
      </c>
      <c r="W16" s="45" t="s">
        <v>245</v>
      </c>
      <c r="X16" s="46" t="s">
        <v>246</v>
      </c>
      <c r="Y16" s="47" t="n">
        <f aca="false">IF($V16=1,N16,"")</f>
        <v>418.348623853211</v>
      </c>
      <c r="Z16" s="47" t="n">
        <f aca="false">IF($V16=1,P16,"")</f>
        <v>418.348623853211</v>
      </c>
      <c r="AA16" s="47" t="n">
        <f aca="false">IF($V16=1,IF(AND($D16&gt;=100,$D16&lt;=210),P16,""),"")</f>
        <v>418.348623853211</v>
      </c>
      <c r="AB16" s="47" t="n">
        <f aca="false">IF($V16=1,IF(AND($D16&gt;=100,$D16&lt;=210),N16,""),"")</f>
        <v>418.348623853211</v>
      </c>
    </row>
    <row r="17" customFormat="false" ht="63.75" hidden="false" customHeight="true" outlineLevel="0" collapsed="false">
      <c r="A17" s="37" t="n">
        <v>14</v>
      </c>
      <c r="B17" s="38" t="s">
        <v>247</v>
      </c>
      <c r="C17" s="38" t="s">
        <v>248</v>
      </c>
      <c r="D17" s="39" t="n">
        <v>147</v>
      </c>
      <c r="E17" s="39" t="n">
        <v>129</v>
      </c>
      <c r="F17" s="39" t="n">
        <v>0</v>
      </c>
      <c r="G17" s="39" t="n">
        <v>18</v>
      </c>
      <c r="H17" s="39" t="n">
        <f aca="false">IF(SUM(E17:G17)=0,"",E17*Методика!$B$5+F17*Методика!$B$6+G17*Методика!$B$7)</f>
        <v>135.3</v>
      </c>
      <c r="I17" s="39"/>
      <c r="J17" s="37" t="s">
        <v>249</v>
      </c>
      <c r="K17" s="38" t="s">
        <v>250</v>
      </c>
      <c r="L17" s="40" t="n">
        <v>63504</v>
      </c>
      <c r="M17" s="40" t="s">
        <v>173</v>
      </c>
      <c r="N17" s="40" t="n">
        <f aca="false">IFERROR(L17/D17,"")</f>
        <v>432</v>
      </c>
      <c r="O17" s="41" t="n">
        <f aca="false">IFERROR(N17/12,"")</f>
        <v>36</v>
      </c>
      <c r="P17" s="40" t="n">
        <f aca="false">IFERROR(L17/H17,"")</f>
        <v>469.356984478936</v>
      </c>
      <c r="Q17" s="42" t="n">
        <f aca="false">IFERROR(P17/$P$22-1,"")</f>
        <v>-0.151637250554324</v>
      </c>
      <c r="R17" s="43" t="n">
        <v>80</v>
      </c>
      <c r="S17" s="44" t="s">
        <v>251</v>
      </c>
      <c r="T17" s="38" t="s">
        <v>252</v>
      </c>
      <c r="U17" s="38" t="s">
        <v>176</v>
      </c>
      <c r="V17" s="37" t="n">
        <v>1</v>
      </c>
      <c r="W17" s="45" t="s">
        <v>253</v>
      </c>
      <c r="X17" s="46" t="s">
        <v>254</v>
      </c>
      <c r="Y17" s="47" t="n">
        <f aca="false">IF($V17=1,N17,"")</f>
        <v>432</v>
      </c>
      <c r="Z17" s="47" t="n">
        <f aca="false">IF($V17=1,P17,"")</f>
        <v>469.356984478936</v>
      </c>
      <c r="AA17" s="47" t="n">
        <f aca="false">IF($V17=1,IF(AND($D17&gt;=100,$D17&lt;=210),P17,""),"")</f>
        <v>469.356984478936</v>
      </c>
      <c r="AB17" s="47" t="n">
        <f aca="false">IF($V17=1,IF(AND($D17&gt;=100,$D17&lt;=210),N17,""),"")</f>
        <v>432</v>
      </c>
    </row>
    <row r="18" customFormat="false" ht="63.75" hidden="false" customHeight="true" outlineLevel="0" collapsed="false">
      <c r="A18" s="37" t="n">
        <v>15</v>
      </c>
      <c r="B18" s="38" t="s">
        <v>255</v>
      </c>
      <c r="C18" s="38" t="s">
        <v>212</v>
      </c>
      <c r="D18" s="39" t="n">
        <v>401</v>
      </c>
      <c r="E18" s="39" t="n">
        <v>215</v>
      </c>
      <c r="F18" s="39" t="n">
        <v>186</v>
      </c>
      <c r="G18" s="39" t="n">
        <v>0</v>
      </c>
      <c r="H18" s="39" t="n">
        <f aca="false">IF(SUM(E18:G18)=0,"",E18*Методика!$B$5+F18*Методика!$B$6+G18*Методика!$B$7)</f>
        <v>261.5</v>
      </c>
      <c r="I18" s="39" t="n">
        <v>36</v>
      </c>
      <c r="J18" s="37" t="s">
        <v>256</v>
      </c>
      <c r="K18" s="38" t="s">
        <v>257</v>
      </c>
      <c r="L18" s="40" t="n">
        <v>125000</v>
      </c>
      <c r="M18" s="40" t="n">
        <v>8020</v>
      </c>
      <c r="N18" s="40" t="n">
        <f aca="false">IFERROR(L18/D18,"")</f>
        <v>311.720698254364</v>
      </c>
      <c r="O18" s="41" t="n">
        <f aca="false">IFERROR(N18/12,"")</f>
        <v>25.9767248545303</v>
      </c>
      <c r="P18" s="40" t="n">
        <f aca="false">IFERROR(L18/H18,"")</f>
        <v>478.011472275335</v>
      </c>
      <c r="Q18" s="42" t="n">
        <f aca="false">IFERROR(P18/$P$22-1,"")</f>
        <v>-0.135994263862333</v>
      </c>
      <c r="R18" s="43" t="n">
        <v>70</v>
      </c>
      <c r="S18" s="48" t="s">
        <v>240</v>
      </c>
      <c r="T18" s="38" t="s">
        <v>241</v>
      </c>
      <c r="U18" s="38" t="s">
        <v>176</v>
      </c>
      <c r="V18" s="37" t="n">
        <v>1</v>
      </c>
      <c r="W18" s="45" t="s">
        <v>258</v>
      </c>
      <c r="X18" s="46" t="s">
        <v>259</v>
      </c>
      <c r="Y18" s="47" t="n">
        <f aca="false">IF($V18=1,N18,"")</f>
        <v>311.720698254364</v>
      </c>
      <c r="Z18" s="47" t="n">
        <f aca="false">IF($V18=1,P18,"")</f>
        <v>478.011472275335</v>
      </c>
      <c r="AA18" s="0" t="str">
        <f aca="false">IF($V18=1,IF(AND($D18&gt;=100,$D18&lt;=210),P18,""),"")</f>
        <v/>
      </c>
      <c r="AB18" s="0" t="str">
        <f aca="false">IF($V18=1,IF(AND($D18&gt;=100,$D18&lt;=210),N18,""),"")</f>
        <v/>
      </c>
    </row>
    <row r="19" customFormat="false" ht="63.75" hidden="false" customHeight="true" outlineLevel="0" collapsed="false">
      <c r="A19" s="28" t="n">
        <v>16</v>
      </c>
      <c r="B19" s="29" t="s">
        <v>260</v>
      </c>
      <c r="C19" s="29" t="s">
        <v>180</v>
      </c>
      <c r="D19" s="30" t="n">
        <v>401</v>
      </c>
      <c r="E19" s="30" t="n">
        <v>186</v>
      </c>
      <c r="F19" s="30" t="n">
        <v>215</v>
      </c>
      <c r="G19" s="30" t="n">
        <v>0</v>
      </c>
      <c r="H19" s="30" t="n">
        <f aca="false">IF(SUM(E19:G19)=0,"",E19*Методика!$B$5+F19*Методика!$B$6+G19*Методика!$B$7)</f>
        <v>239.75</v>
      </c>
      <c r="I19" s="30"/>
      <c r="J19" s="28" t="s">
        <v>256</v>
      </c>
      <c r="K19" s="29" t="s">
        <v>261</v>
      </c>
      <c r="L19" s="31" t="n">
        <v>125000</v>
      </c>
      <c r="M19" s="31" t="n">
        <v>8020</v>
      </c>
      <c r="N19" s="31" t="n">
        <f aca="false">IFERROR(L19/D19,"")</f>
        <v>311.720698254364</v>
      </c>
      <c r="O19" s="32" t="n">
        <f aca="false">IFERROR(N19/12,"")</f>
        <v>25.9767248545303</v>
      </c>
      <c r="P19" s="31" t="n">
        <f aca="false">IFERROR(L19/H19,"")</f>
        <v>521.376433785193</v>
      </c>
      <c r="Q19" s="33" t="n">
        <f aca="false">IFERROR(P19/$P$22-1,"")</f>
        <v>-0.0576120959332637</v>
      </c>
      <c r="R19" s="34" t="n">
        <v>45</v>
      </c>
      <c r="S19" s="29" t="s">
        <v>174</v>
      </c>
      <c r="T19" s="29" t="s">
        <v>175</v>
      </c>
      <c r="U19" s="29" t="s">
        <v>262</v>
      </c>
      <c r="V19" s="28" t="n">
        <v>0</v>
      </c>
      <c r="W19" s="35" t="s">
        <v>263</v>
      </c>
      <c r="X19" s="36" t="s">
        <v>264</v>
      </c>
      <c r="Y19" s="0" t="str">
        <f aca="false">IF($V19=1,N19,"")</f>
        <v/>
      </c>
      <c r="Z19" s="0" t="str">
        <f aca="false">IF($V19=1,P19,"")</f>
        <v/>
      </c>
      <c r="AA19" s="0" t="str">
        <f aca="false">IF($V19=1,IF(AND($D19&gt;=100,$D19&lt;=210),P19,""),"")</f>
        <v/>
      </c>
      <c r="AB19" s="0" t="str">
        <f aca="false">IF($V19=1,IF(AND($D19&gt;=100,$D19&lt;=210),N19,""),"")</f>
        <v/>
      </c>
    </row>
    <row r="20" customFormat="false" ht="63.75" hidden="false" customHeight="true" outlineLevel="0" collapsed="false">
      <c r="A20" s="37" t="n">
        <v>17</v>
      </c>
      <c r="B20" s="38" t="s">
        <v>265</v>
      </c>
      <c r="C20" s="38" t="s">
        <v>180</v>
      </c>
      <c r="D20" s="39" t="n">
        <v>181</v>
      </c>
      <c r="E20" s="39" t="n">
        <v>181</v>
      </c>
      <c r="F20" s="39" t="n">
        <v>0</v>
      </c>
      <c r="G20" s="39" t="n">
        <v>0</v>
      </c>
      <c r="H20" s="39" t="n">
        <f aca="false">IF(SUM(E20:G20)=0,"",E20*Методика!$B$5+F20*Методика!$B$6+G20*Методика!$B$7)</f>
        <v>181</v>
      </c>
      <c r="I20" s="39"/>
      <c r="J20" s="37" t="s">
        <v>195</v>
      </c>
      <c r="K20" s="38" t="s">
        <v>182</v>
      </c>
      <c r="L20" s="40" t="n">
        <v>95000</v>
      </c>
      <c r="M20" s="40" t="s">
        <v>173</v>
      </c>
      <c r="N20" s="40" t="n">
        <f aca="false">IFERROR(L20/D20,"")</f>
        <v>524.861878453039</v>
      </c>
      <c r="O20" s="41" t="n">
        <f aca="false">IFERROR(N20/12,"")</f>
        <v>43.7384898710866</v>
      </c>
      <c r="P20" s="40" t="n">
        <f aca="false">IFERROR(L20/H20,"")</f>
        <v>524.861878453039</v>
      </c>
      <c r="Q20" s="42" t="n">
        <f aca="false">IFERROR(P20/$P$22-1,"")</f>
        <v>-0.0513121546961325</v>
      </c>
      <c r="R20" s="43" t="n">
        <v>85</v>
      </c>
      <c r="S20" s="44" t="s">
        <v>215</v>
      </c>
      <c r="T20" s="38" t="s">
        <v>216</v>
      </c>
      <c r="U20" s="38" t="s">
        <v>185</v>
      </c>
      <c r="V20" s="37" t="n">
        <v>1</v>
      </c>
      <c r="W20" s="45" t="s">
        <v>266</v>
      </c>
      <c r="X20" s="46" t="s">
        <v>267</v>
      </c>
      <c r="Y20" s="47" t="n">
        <f aca="false">IF($V20=1,N20,"")</f>
        <v>524.861878453039</v>
      </c>
      <c r="Z20" s="47" t="n">
        <f aca="false">IF($V20=1,P20,"")</f>
        <v>524.861878453039</v>
      </c>
      <c r="AA20" s="47" t="n">
        <f aca="false">IF($V20=1,IF(AND($D20&gt;=100,$D20&lt;=210),P20,""),"")</f>
        <v>524.861878453039</v>
      </c>
      <c r="AB20" s="47" t="n">
        <f aca="false">IF($V20=1,IF(AND($D20&gt;=100,$D20&lt;=210),N20,""),"")</f>
        <v>524.861878453039</v>
      </c>
    </row>
    <row r="21" customFormat="false" ht="63.75" hidden="false" customHeight="true" outlineLevel="0" collapsed="false">
      <c r="A21" s="37" t="n">
        <v>18</v>
      </c>
      <c r="B21" s="38" t="s">
        <v>268</v>
      </c>
      <c r="C21" s="38" t="s">
        <v>269</v>
      </c>
      <c r="D21" s="39" t="n">
        <v>140</v>
      </c>
      <c r="E21" s="39" t="n">
        <v>120</v>
      </c>
      <c r="F21" s="39" t="n">
        <v>20</v>
      </c>
      <c r="G21" s="39" t="n">
        <v>0</v>
      </c>
      <c r="H21" s="39" t="n">
        <f aca="false">IF(SUM(E21:G21)=0,"",E21*Методика!$B$5+F21*Методика!$B$6+G21*Методика!$B$7)</f>
        <v>125</v>
      </c>
      <c r="I21" s="39"/>
      <c r="J21" s="37" t="s">
        <v>270</v>
      </c>
      <c r="K21" s="38" t="s">
        <v>271</v>
      </c>
      <c r="L21" s="40" t="n">
        <v>69000</v>
      </c>
      <c r="M21" s="40" t="s">
        <v>173</v>
      </c>
      <c r="N21" s="40" t="n">
        <f aca="false">IFERROR(L21/D21,"")</f>
        <v>492.857142857143</v>
      </c>
      <c r="O21" s="41" t="n">
        <f aca="false">IFERROR(N21/12,"")</f>
        <v>41.0714285714286</v>
      </c>
      <c r="P21" s="40" t="n">
        <f aca="false">IFERROR(L21/H21,"")</f>
        <v>552</v>
      </c>
      <c r="Q21" s="42" t="n">
        <f aca="false">IFERROR(P21/$P$22-1,"")</f>
        <v>-0.00225999999999993</v>
      </c>
      <c r="R21" s="43" t="n">
        <v>75</v>
      </c>
      <c r="S21" s="44" t="s">
        <v>251</v>
      </c>
      <c r="T21" s="38" t="s">
        <v>252</v>
      </c>
      <c r="U21" s="38" t="s">
        <v>185</v>
      </c>
      <c r="V21" s="37" t="n">
        <v>1</v>
      </c>
      <c r="W21" s="45" t="s">
        <v>272</v>
      </c>
      <c r="X21" s="46" t="s">
        <v>273</v>
      </c>
      <c r="Y21" s="47" t="n">
        <f aca="false">IF($V21=1,N21,"")</f>
        <v>492.857142857143</v>
      </c>
      <c r="Z21" s="47" t="n">
        <f aca="false">IF($V21=1,P21,"")</f>
        <v>552</v>
      </c>
      <c r="AA21" s="47" t="n">
        <f aca="false">IF($V21=1,IF(AND($D21&gt;=100,$D21&lt;=210),P21,""),"")</f>
        <v>552</v>
      </c>
      <c r="AB21" s="47" t="n">
        <f aca="false">IF($V21=1,IF(AND($D21&gt;=100,$D21&lt;=210),N21,""),"")</f>
        <v>492.857142857143</v>
      </c>
    </row>
    <row r="22" customFormat="false" ht="63.75" hidden="false" customHeight="true" outlineLevel="0" collapsed="false">
      <c r="A22" s="50" t="s">
        <v>274</v>
      </c>
      <c r="B22" s="51" t="s">
        <v>275</v>
      </c>
      <c r="C22" s="51" t="s">
        <v>276</v>
      </c>
      <c r="D22" s="52" t="n">
        <f aca="false">Методика!$B$13</f>
        <v>161.1</v>
      </c>
      <c r="E22" s="52" t="n">
        <f aca="false">Методика!$B$11</f>
        <v>115</v>
      </c>
      <c r="F22" s="52" t="n">
        <f aca="false">Методика!$B$12</f>
        <v>46.1</v>
      </c>
      <c r="G22" s="52" t="n">
        <v>0</v>
      </c>
      <c r="H22" s="52" t="n">
        <f aca="false">IF(SUM(E22:G22)=0,"",E22*Методика!$B$5+F22*Методика!$B$6+G22*Методика!$B$7)</f>
        <v>126.525</v>
      </c>
      <c r="I22" s="52" t="n">
        <f aca="false">Методика!$B$14</f>
        <v>8</v>
      </c>
      <c r="J22" s="50" t="s">
        <v>231</v>
      </c>
      <c r="K22" s="51" t="s">
        <v>277</v>
      </c>
      <c r="L22" s="53" t="n">
        <f aca="false">Методика!$B$10</f>
        <v>70000</v>
      </c>
      <c r="M22" s="53" t="s">
        <v>173</v>
      </c>
      <c r="N22" s="53" t="n">
        <f aca="false">IFERROR(L22/D22,"")</f>
        <v>434.512725015518</v>
      </c>
      <c r="O22" s="54" t="n">
        <f aca="false">IFERROR(N22/12,"")</f>
        <v>36.2093937512932</v>
      </c>
      <c r="P22" s="53" t="n">
        <f aca="false">IFERROR(L22/H22,"")</f>
        <v>553.250345781466</v>
      </c>
      <c r="Q22" s="55"/>
      <c r="R22" s="56" t="n">
        <v>100</v>
      </c>
      <c r="S22" s="51" t="s">
        <v>278</v>
      </c>
      <c r="T22" s="51" t="s">
        <v>279</v>
      </c>
      <c r="U22" s="51" t="s">
        <v>2</v>
      </c>
      <c r="V22" s="50" t="s">
        <v>274</v>
      </c>
      <c r="W22" s="57" t="s">
        <v>280</v>
      </c>
      <c r="X22" s="58" t="s">
        <v>281</v>
      </c>
      <c r="Y22" s="0" t="str">
        <f aca="false">IF($V22=1,N22,"")</f>
        <v/>
      </c>
      <c r="Z22" s="0" t="str">
        <f aca="false">IF($V22=1,P22,"")</f>
        <v/>
      </c>
      <c r="AA22" s="0" t="str">
        <f aca="false">IF($V22=1,IF(AND($D22&gt;=100,$D22&lt;=210),P22,""),"")</f>
        <v/>
      </c>
      <c r="AB22" s="0" t="str">
        <f aca="false">IF($V22=1,IF(AND($D22&gt;=100,$D22&lt;=210),N22,""),"")</f>
        <v/>
      </c>
    </row>
    <row r="23" customFormat="false" ht="63.75" hidden="false" customHeight="true" outlineLevel="0" collapsed="false">
      <c r="A23" s="28" t="n">
        <v>20</v>
      </c>
      <c r="B23" s="29" t="s">
        <v>282</v>
      </c>
      <c r="C23" s="29" t="s">
        <v>283</v>
      </c>
      <c r="D23" s="30" t="n">
        <v>18</v>
      </c>
      <c r="E23" s="30" t="n">
        <v>18</v>
      </c>
      <c r="F23" s="30" t="n">
        <v>0</v>
      </c>
      <c r="G23" s="30" t="n">
        <v>0</v>
      </c>
      <c r="H23" s="30" t="n">
        <f aca="false">IF(SUM(E23:G23)=0,"",E23*Методика!$B$5+F23*Методика!$B$6+G23*Методика!$B$7)</f>
        <v>18</v>
      </c>
      <c r="I23" s="30"/>
      <c r="J23" s="28" t="s">
        <v>181</v>
      </c>
      <c r="K23" s="29" t="s">
        <v>284</v>
      </c>
      <c r="L23" s="31" t="n">
        <v>10500</v>
      </c>
      <c r="M23" s="31" t="n">
        <v>0</v>
      </c>
      <c r="N23" s="31" t="n">
        <f aca="false">IFERROR(L23/D23,"")</f>
        <v>583.333333333333</v>
      </c>
      <c r="O23" s="32" t="n">
        <f aca="false">IFERROR(N23/12,"")</f>
        <v>48.6111111111111</v>
      </c>
      <c r="P23" s="31" t="n">
        <f aca="false">IFERROR(L23/H23,"")</f>
        <v>583.333333333333</v>
      </c>
      <c r="Q23" s="33" t="n">
        <f aca="false">IFERROR(P23/$P$22-1,"")</f>
        <v>0.0543750000000001</v>
      </c>
      <c r="R23" s="34" t="n">
        <v>70</v>
      </c>
      <c r="S23" s="29" t="s">
        <v>174</v>
      </c>
      <c r="T23" s="29" t="s">
        <v>190</v>
      </c>
      <c r="U23" s="29" t="s">
        <v>285</v>
      </c>
      <c r="V23" s="28" t="n">
        <v>0</v>
      </c>
      <c r="W23" s="35" t="s">
        <v>286</v>
      </c>
      <c r="X23" s="36" t="s">
        <v>287</v>
      </c>
      <c r="Y23" s="0" t="str">
        <f aca="false">IF($V23=1,N23,"")</f>
        <v/>
      </c>
      <c r="Z23" s="0" t="str">
        <f aca="false">IF($V23=1,P23,"")</f>
        <v/>
      </c>
      <c r="AA23" s="0" t="str">
        <f aca="false">IF($V23=1,IF(AND($D23&gt;=100,$D23&lt;=210),P23,""),"")</f>
        <v/>
      </c>
      <c r="AB23" s="0" t="str">
        <f aca="false">IF($V23=1,IF(AND($D23&gt;=100,$D23&lt;=210),N23,""),"")</f>
        <v/>
      </c>
    </row>
    <row r="24" customFormat="false" ht="63.75" hidden="false" customHeight="true" outlineLevel="0" collapsed="false">
      <c r="A24" s="37" t="n">
        <v>21</v>
      </c>
      <c r="B24" s="38" t="s">
        <v>288</v>
      </c>
      <c r="C24" s="38" t="s">
        <v>180</v>
      </c>
      <c r="D24" s="39" t="n">
        <v>83</v>
      </c>
      <c r="E24" s="39" t="n">
        <v>37</v>
      </c>
      <c r="F24" s="39" t="n">
        <v>46</v>
      </c>
      <c r="G24" s="39" t="n">
        <v>0</v>
      </c>
      <c r="H24" s="39" t="n">
        <f aca="false">IF(SUM(E24:G24)=0,"",E24*Методика!$B$5+F24*Методика!$B$6+G24*Методика!$B$7)</f>
        <v>48.5</v>
      </c>
      <c r="I24" s="39" t="n">
        <v>5</v>
      </c>
      <c r="J24" s="37" t="s">
        <v>206</v>
      </c>
      <c r="K24" s="38" t="s">
        <v>289</v>
      </c>
      <c r="L24" s="40" t="n">
        <v>29700</v>
      </c>
      <c r="M24" s="40" t="s">
        <v>173</v>
      </c>
      <c r="N24" s="40" t="n">
        <f aca="false">IFERROR(L24/D24,"")</f>
        <v>357.831325301205</v>
      </c>
      <c r="O24" s="41" t="n">
        <f aca="false">IFERROR(N24/12,"")</f>
        <v>29.8192771084337</v>
      </c>
      <c r="P24" s="40" t="n">
        <f aca="false">IFERROR(L24/H24,"")</f>
        <v>612.371134020619</v>
      </c>
      <c r="Q24" s="42" t="n">
        <f aca="false">IFERROR(P24/$P$22-1,"")</f>
        <v>0.106860824742268</v>
      </c>
      <c r="R24" s="43" t="n">
        <v>50</v>
      </c>
      <c r="S24" s="48" t="s">
        <v>174</v>
      </c>
      <c r="T24" s="38" t="s">
        <v>190</v>
      </c>
      <c r="U24" s="38" t="s">
        <v>290</v>
      </c>
      <c r="V24" s="37" t="n">
        <v>1</v>
      </c>
      <c r="W24" s="45" t="s">
        <v>291</v>
      </c>
      <c r="X24" s="46" t="s">
        <v>292</v>
      </c>
      <c r="Y24" s="47" t="n">
        <f aca="false">IF($V24=1,N24,"")</f>
        <v>357.831325301205</v>
      </c>
      <c r="Z24" s="47" t="n">
        <f aca="false">IF($V24=1,P24,"")</f>
        <v>612.371134020619</v>
      </c>
      <c r="AA24" s="0" t="str">
        <f aca="false">IF($V24=1,IF(AND($D24&gt;=100,$D24&lt;=210),P24,""),"")</f>
        <v/>
      </c>
      <c r="AB24" s="0" t="str">
        <f aca="false">IF($V24=1,IF(AND($D24&gt;=100,$D24&lt;=210),N24,""),"")</f>
        <v/>
      </c>
    </row>
    <row r="25" customFormat="false" ht="63.75" hidden="false" customHeight="true" outlineLevel="0" collapsed="false">
      <c r="A25" s="37" t="n">
        <v>22</v>
      </c>
      <c r="B25" s="38" t="s">
        <v>293</v>
      </c>
      <c r="C25" s="38" t="s">
        <v>205</v>
      </c>
      <c r="D25" s="39" t="n">
        <v>395</v>
      </c>
      <c r="E25" s="39" t="n">
        <v>200</v>
      </c>
      <c r="F25" s="39" t="n">
        <v>0</v>
      </c>
      <c r="G25" s="39" t="n">
        <v>195</v>
      </c>
      <c r="H25" s="39" t="n">
        <f aca="false">IF(SUM(E25:G25)=0,"",E25*Методика!$B$5+F25*Методика!$B$6+G25*Методика!$B$7)</f>
        <v>268.25</v>
      </c>
      <c r="I25" s="39" t="n">
        <v>8</v>
      </c>
      <c r="J25" s="37" t="s">
        <v>231</v>
      </c>
      <c r="K25" s="38" t="s">
        <v>222</v>
      </c>
      <c r="L25" s="40" t="n">
        <v>205000</v>
      </c>
      <c r="M25" s="40" t="n">
        <v>0</v>
      </c>
      <c r="N25" s="40" t="n">
        <f aca="false">IFERROR(L25/D25,"")</f>
        <v>518.987341772152</v>
      </c>
      <c r="O25" s="41" t="n">
        <f aca="false">IFERROR(N25/12,"")</f>
        <v>43.2489451476793</v>
      </c>
      <c r="P25" s="40" t="n">
        <f aca="false">IFERROR(L25/H25,"")</f>
        <v>764.212488350419</v>
      </c>
      <c r="Q25" s="42" t="n">
        <f aca="false">IFERROR(P25/$P$22-1,"")</f>
        <v>0.381314072693383</v>
      </c>
      <c r="R25" s="43" t="n">
        <v>248</v>
      </c>
      <c r="S25" s="49" t="s">
        <v>207</v>
      </c>
      <c r="T25" s="38" t="s">
        <v>208</v>
      </c>
      <c r="U25" s="38" t="s">
        <v>185</v>
      </c>
      <c r="V25" s="37" t="n">
        <v>1</v>
      </c>
      <c r="W25" s="45" t="s">
        <v>294</v>
      </c>
      <c r="X25" s="46" t="s">
        <v>295</v>
      </c>
      <c r="Y25" s="47" t="n">
        <f aca="false">IF($V25=1,N25,"")</f>
        <v>518.987341772152</v>
      </c>
      <c r="Z25" s="47" t="n">
        <f aca="false">IF($V25=1,P25,"")</f>
        <v>764.212488350419</v>
      </c>
      <c r="AA25" s="0" t="str">
        <f aca="false">IF($V25=1,IF(AND($D25&gt;=100,$D25&lt;=210),P25,""),"")</f>
        <v/>
      </c>
      <c r="AB25" s="0" t="str">
        <f aca="false">IF($V25=1,IF(AND($D25&gt;=100,$D25&lt;=210),N25,""),"")</f>
        <v/>
      </c>
    </row>
    <row r="26" customFormat="false" ht="63.75" hidden="false" customHeight="true" outlineLevel="0" collapsed="false">
      <c r="A26" s="37" t="n">
        <v>23</v>
      </c>
      <c r="B26" s="38" t="s">
        <v>296</v>
      </c>
      <c r="C26" s="38" t="s">
        <v>180</v>
      </c>
      <c r="D26" s="39" t="n">
        <v>265</v>
      </c>
      <c r="E26" s="39" t="n">
        <v>195</v>
      </c>
      <c r="F26" s="39" t="n">
        <v>70</v>
      </c>
      <c r="G26" s="39" t="n">
        <v>0</v>
      </c>
      <c r="H26" s="39" t="n">
        <f aca="false">IF(SUM(E26:G26)=0,"",E26*Методика!$B$5+F26*Методика!$B$6+G26*Методика!$B$7)</f>
        <v>212.5</v>
      </c>
      <c r="I26" s="39" t="n">
        <v>9</v>
      </c>
      <c r="J26" s="37" t="s">
        <v>297</v>
      </c>
      <c r="K26" s="38" t="s">
        <v>298</v>
      </c>
      <c r="L26" s="40" t="n">
        <v>185000</v>
      </c>
      <c r="M26" s="40" t="n">
        <v>6600</v>
      </c>
      <c r="N26" s="40" t="n">
        <f aca="false">IFERROR(L26/D26,"")</f>
        <v>698.11320754717</v>
      </c>
      <c r="O26" s="41" t="n">
        <f aca="false">IFERROR(N26/12,"")</f>
        <v>58.1761006289308</v>
      </c>
      <c r="P26" s="40" t="n">
        <f aca="false">IFERROR(L26/H26,"")</f>
        <v>870.588235294118</v>
      </c>
      <c r="Q26" s="42" t="n">
        <f aca="false">IFERROR(P26/$P$22-1,"")</f>
        <v>0.573588235294118</v>
      </c>
      <c r="R26" s="43" t="n">
        <v>115</v>
      </c>
      <c r="S26" s="59" t="s">
        <v>299</v>
      </c>
      <c r="T26" s="38" t="s">
        <v>300</v>
      </c>
      <c r="U26" s="38" t="s">
        <v>176</v>
      </c>
      <c r="V26" s="37" t="n">
        <v>1</v>
      </c>
      <c r="W26" s="45" t="s">
        <v>301</v>
      </c>
      <c r="X26" s="46" t="s">
        <v>302</v>
      </c>
      <c r="Y26" s="47" t="n">
        <f aca="false">IF($V26=1,N26,"")</f>
        <v>698.11320754717</v>
      </c>
      <c r="Z26" s="47" t="n">
        <f aca="false">IF($V26=1,P26,"")</f>
        <v>870.588235294118</v>
      </c>
      <c r="AA26" s="0" t="str">
        <f aca="false">IF($V26=1,IF(AND($D26&gt;=100,$D26&lt;=210),P26,""),"")</f>
        <v/>
      </c>
      <c r="AB26" s="0" t="str">
        <f aca="false">IF($V26=1,IF(AND($D26&gt;=100,$D26&lt;=210),N26,""),"")</f>
        <v/>
      </c>
    </row>
    <row r="27" customFormat="false" ht="63.75" hidden="false" customHeight="true" outlineLevel="0" collapsed="false">
      <c r="A27" s="37" t="n">
        <v>24</v>
      </c>
      <c r="B27" s="38" t="s">
        <v>303</v>
      </c>
      <c r="C27" s="38" t="s">
        <v>180</v>
      </c>
      <c r="D27" s="39" t="n">
        <v>160</v>
      </c>
      <c r="E27" s="39" t="n">
        <v>80</v>
      </c>
      <c r="F27" s="39" t="n">
        <v>80</v>
      </c>
      <c r="G27" s="39" t="n">
        <v>0</v>
      </c>
      <c r="H27" s="39" t="n">
        <f aca="false">IF(SUM(E27:G27)=0,"",E27*Методика!$B$5+F27*Методика!$B$6+G27*Методика!$B$7)</f>
        <v>100</v>
      </c>
      <c r="I27" s="39"/>
      <c r="J27" s="37" t="s">
        <v>221</v>
      </c>
      <c r="K27" s="38" t="s">
        <v>182</v>
      </c>
      <c r="L27" s="40" t="n">
        <v>130000</v>
      </c>
      <c r="M27" s="40" t="n">
        <v>1080</v>
      </c>
      <c r="N27" s="40" t="n">
        <f aca="false">IFERROR(L27/D27,"")</f>
        <v>812.5</v>
      </c>
      <c r="O27" s="41" t="n">
        <f aca="false">IFERROR(N27/12,"")</f>
        <v>67.7083333333333</v>
      </c>
      <c r="P27" s="40" t="n">
        <f aca="false">IFERROR(L27/H27,"")</f>
        <v>1300</v>
      </c>
      <c r="Q27" s="42" t="n">
        <f aca="false">IFERROR(P27/$P$22-1,"")</f>
        <v>1.34975</v>
      </c>
      <c r="R27" s="43" t="n">
        <v>115</v>
      </c>
      <c r="S27" s="59" t="s">
        <v>299</v>
      </c>
      <c r="T27" s="38" t="s">
        <v>300</v>
      </c>
      <c r="U27" s="38" t="s">
        <v>176</v>
      </c>
      <c r="V27" s="37" t="n">
        <v>1</v>
      </c>
      <c r="W27" s="45" t="s">
        <v>304</v>
      </c>
      <c r="X27" s="46" t="s">
        <v>305</v>
      </c>
      <c r="Y27" s="47" t="n">
        <f aca="false">IF($V27=1,N27,"")</f>
        <v>812.5</v>
      </c>
      <c r="Z27" s="47" t="n">
        <f aca="false">IF($V27=1,P27,"")</f>
        <v>1300</v>
      </c>
      <c r="AA27" s="47" t="n">
        <f aca="false">IF($V27=1,IF(AND($D27&gt;=100,$D27&lt;=210),P27,""),"")</f>
        <v>1300</v>
      </c>
      <c r="AB27" s="47" t="n">
        <f aca="false">IF($V27=1,IF(AND($D27&gt;=100,$D27&lt;=210),N27,""),"")</f>
        <v>812.5</v>
      </c>
    </row>
    <row r="29" customFormat="false" ht="15" hidden="false" customHeight="false" outlineLevel="0" collapsed="false">
      <c r="A29" s="60" t="str">
        <f aca="false">"ИТОГО ПО ВЫБОРКЕ   (n = "&amp;SUM($V$4:$V$27)&amp;" из 23; исключены 3)"</f>
        <v>ИТОГО ПО ВЫБОРКЕ   (n = 20 из 23; исключены 3)</v>
      </c>
      <c r="B29" s="60"/>
      <c r="C29" s="60"/>
      <c r="D29" s="61"/>
      <c r="E29" s="61"/>
      <c r="F29" s="61"/>
      <c r="G29" s="61"/>
      <c r="H29" s="61"/>
      <c r="I29" s="61"/>
      <c r="J29" s="61"/>
      <c r="K29" s="61" t="s">
        <v>306</v>
      </c>
      <c r="L29" s="62" t="n">
        <f aca="false">SUMIF($V$4:$V$27,1,L$4:L$27)</f>
        <v>1935114</v>
      </c>
      <c r="M29" s="61" t="s">
        <v>306</v>
      </c>
      <c r="N29" s="62" t="n">
        <f aca="false">AVERAGE(Y$4:Y$27)</f>
        <v>368.361506965088</v>
      </c>
      <c r="O29" s="61"/>
      <c r="P29" s="62" t="n">
        <f aca="false">AVERAGE(Z$4:Z$27)</f>
        <v>470.006851996216</v>
      </c>
      <c r="Q29" s="61"/>
      <c r="R29" s="63" t="n">
        <f aca="false">AVERAGE(R$4:R$27)</f>
        <v>96.7916666666667</v>
      </c>
      <c r="S29" s="61"/>
      <c r="T29" s="61"/>
      <c r="U29" s="61"/>
      <c r="V29" s="61"/>
      <c r="W29" s="61"/>
      <c r="X29" s="61"/>
    </row>
    <row r="30" customFormat="false" ht="15" hidden="false" customHeight="false" outlineLevel="0" collapsed="false">
      <c r="A30" s="64" t="s">
        <v>307</v>
      </c>
      <c r="B30" s="64"/>
      <c r="C30" s="64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6" t="n">
        <f aca="false">MEDIAN(Y$4:Y$27)</f>
        <v>315.106924469648</v>
      </c>
      <c r="O30" s="65"/>
      <c r="P30" s="66" t="n">
        <f aca="false">MEDIAN(Z$4:Z$27)</f>
        <v>375.215834603958</v>
      </c>
      <c r="Q30" s="65"/>
      <c r="R30" s="65"/>
      <c r="S30" s="65"/>
      <c r="T30" s="65"/>
      <c r="U30" s="65"/>
      <c r="V30" s="65"/>
      <c r="W30" s="65"/>
      <c r="X30" s="65"/>
    </row>
    <row r="31" customFormat="false" ht="15" hidden="false" customHeight="false" outlineLevel="0" collapsed="false">
      <c r="A31" s="67" t="s">
        <v>308</v>
      </c>
      <c r="B31" s="67"/>
      <c r="C31" s="67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9" t="n">
        <f aca="false">N22/MEDIAN(Y$4:Y$27)-1</f>
        <v>0.378937405919723</v>
      </c>
      <c r="O31" s="68"/>
      <c r="P31" s="69" t="n">
        <f aca="false">P22/MEDIAN(Z$4:Z$27)-1</f>
        <v>0.474485602041353</v>
      </c>
      <c r="Q31" s="68"/>
      <c r="R31" s="68"/>
      <c r="S31" s="68"/>
      <c r="T31" s="68"/>
      <c r="U31" s="68"/>
      <c r="V31" s="68"/>
      <c r="W31" s="68"/>
      <c r="X31" s="68"/>
    </row>
  </sheetData>
  <mergeCells count="5">
    <mergeCell ref="A1:X1"/>
    <mergeCell ref="A2:X2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86"/>
  </cols>
  <sheetData>
    <row r="1" customFormat="false" ht="30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 t="s">
        <v>310</v>
      </c>
      <c r="B2" s="2"/>
      <c r="C2" s="2"/>
      <c r="D2" s="2"/>
      <c r="E2" s="2"/>
      <c r="F2" s="2"/>
      <c r="G2" s="2"/>
      <c r="H2" s="2"/>
      <c r="I2" s="2"/>
    </row>
    <row r="3" customFormat="false" ht="39.75" hidden="false" customHeight="true" outlineLevel="0" collapsed="false">
      <c r="A3" s="27" t="s">
        <v>147</v>
      </c>
      <c r="B3" s="27" t="s">
        <v>311</v>
      </c>
      <c r="C3" s="27" t="s">
        <v>312</v>
      </c>
      <c r="D3" s="27" t="s">
        <v>313</v>
      </c>
      <c r="E3" s="27" t="s">
        <v>314</v>
      </c>
      <c r="F3" s="27" t="s">
        <v>315</v>
      </c>
      <c r="G3" s="27" t="s">
        <v>164</v>
      </c>
      <c r="H3" s="27" t="s">
        <v>160</v>
      </c>
      <c r="I3" s="27" t="s">
        <v>316</v>
      </c>
    </row>
    <row r="4" customFormat="false" ht="45.75" hidden="false" customHeight="true" outlineLevel="0" collapsed="false">
      <c r="A4" s="70" t="n">
        <v>1</v>
      </c>
      <c r="B4" s="71" t="s">
        <v>204</v>
      </c>
      <c r="C4" s="72" t="n">
        <f aca="false">Методика!$B$21</f>
        <v>260000</v>
      </c>
      <c r="D4" s="73" t="s">
        <v>317</v>
      </c>
      <c r="E4" s="70" t="n">
        <v>300</v>
      </c>
      <c r="F4" s="74" t="s">
        <v>207</v>
      </c>
      <c r="G4" s="71" t="s">
        <v>208</v>
      </c>
      <c r="H4" s="75" t="n">
        <f aca="false">IFERROR(Все_объекты!P9,"")</f>
        <v>302.387267904509</v>
      </c>
      <c r="I4" s="76" t="s">
        <v>318</v>
      </c>
    </row>
    <row r="5" customFormat="false" ht="45.75" hidden="false" customHeight="true" outlineLevel="0" collapsed="false">
      <c r="A5" s="70" t="n">
        <v>2</v>
      </c>
      <c r="B5" s="71" t="s">
        <v>229</v>
      </c>
      <c r="C5" s="72" t="n">
        <f aca="false">Методика!$B$21</f>
        <v>260000</v>
      </c>
      <c r="D5" s="73" t="s">
        <v>317</v>
      </c>
      <c r="E5" s="70" t="n">
        <v>300</v>
      </c>
      <c r="F5" s="74" t="s">
        <v>207</v>
      </c>
      <c r="G5" s="71" t="s">
        <v>208</v>
      </c>
      <c r="H5" s="75" t="n">
        <f aca="false">IFERROR(Все_объекты!P13,"")</f>
        <v>359.197324414716</v>
      </c>
      <c r="I5" s="76" t="s">
        <v>319</v>
      </c>
    </row>
    <row r="6" customFormat="false" ht="45.75" hidden="false" customHeight="true" outlineLevel="0" collapsed="false">
      <c r="A6" s="70" t="n">
        <v>3</v>
      </c>
      <c r="B6" s="71" t="s">
        <v>293</v>
      </c>
      <c r="C6" s="72" t="n">
        <f aca="false">Методика!$B$20</f>
        <v>213000</v>
      </c>
      <c r="D6" s="73" t="s">
        <v>317</v>
      </c>
      <c r="E6" s="70" t="n">
        <v>248</v>
      </c>
      <c r="F6" s="74" t="s">
        <v>207</v>
      </c>
      <c r="G6" s="71" t="s">
        <v>208</v>
      </c>
      <c r="H6" s="75" t="n">
        <f aca="false">IFERROR(Все_объекты!P25,"")</f>
        <v>764.212488350419</v>
      </c>
      <c r="I6" s="76" t="s">
        <v>320</v>
      </c>
    </row>
    <row r="7" customFormat="false" ht="45.75" hidden="false" customHeight="true" outlineLevel="0" collapsed="false">
      <c r="A7" s="77" t="n">
        <v>4</v>
      </c>
      <c r="B7" s="78" t="s">
        <v>296</v>
      </c>
      <c r="C7" s="79" t="s">
        <v>321</v>
      </c>
      <c r="D7" s="80" t="s">
        <v>322</v>
      </c>
      <c r="E7" s="77" t="n">
        <v>115</v>
      </c>
      <c r="F7" s="59" t="s">
        <v>299</v>
      </c>
      <c r="G7" s="78" t="s">
        <v>300</v>
      </c>
      <c r="H7" s="81" t="n">
        <f aca="false">IFERROR(Все_объекты!P26,"")</f>
        <v>870.588235294118</v>
      </c>
      <c r="I7" s="45" t="s">
        <v>323</v>
      </c>
    </row>
    <row r="8" customFormat="false" ht="45.75" hidden="false" customHeight="true" outlineLevel="0" collapsed="false">
      <c r="A8" s="77" t="n">
        <v>5</v>
      </c>
      <c r="B8" s="78" t="s">
        <v>303</v>
      </c>
      <c r="C8" s="79" t="s">
        <v>321</v>
      </c>
      <c r="D8" s="80" t="s">
        <v>322</v>
      </c>
      <c r="E8" s="77" t="n">
        <v>115</v>
      </c>
      <c r="F8" s="59" t="s">
        <v>299</v>
      </c>
      <c r="G8" s="78" t="s">
        <v>300</v>
      </c>
      <c r="H8" s="81" t="n">
        <f aca="false">IFERROR(Все_объекты!P27,"")</f>
        <v>1300</v>
      </c>
      <c r="I8" s="45" t="s">
        <v>324</v>
      </c>
    </row>
    <row r="9" customFormat="false" ht="45.75" hidden="false" customHeight="true" outlineLevel="0" collapsed="false">
      <c r="A9" s="77" t="n">
        <v>6</v>
      </c>
      <c r="B9" s="78" t="s">
        <v>179</v>
      </c>
      <c r="C9" s="79" t="s">
        <v>321</v>
      </c>
      <c r="D9" s="80" t="s">
        <v>322</v>
      </c>
      <c r="E9" s="77" t="n">
        <v>105</v>
      </c>
      <c r="F9" s="44" t="s">
        <v>183</v>
      </c>
      <c r="G9" s="78" t="s">
        <v>184</v>
      </c>
      <c r="H9" s="81" t="n">
        <f aca="false">IFERROR(Все_объекты!P5,"")</f>
        <v>210</v>
      </c>
      <c r="I9" s="45" t="s">
        <v>325</v>
      </c>
    </row>
    <row r="10" customFormat="false" ht="45.75" hidden="false" customHeight="true" outlineLevel="0" collapsed="false">
      <c r="A10" s="77" t="n">
        <v>7</v>
      </c>
      <c r="B10" s="78" t="s">
        <v>244</v>
      </c>
      <c r="C10" s="79" t="s">
        <v>321</v>
      </c>
      <c r="D10" s="80" t="s">
        <v>322</v>
      </c>
      <c r="E10" s="77" t="n">
        <v>105</v>
      </c>
      <c r="F10" s="44" t="s">
        <v>183</v>
      </c>
      <c r="G10" s="78" t="s">
        <v>184</v>
      </c>
      <c r="H10" s="81" t="n">
        <f aca="false">IFERROR(Все_объекты!P16,"")</f>
        <v>418.348623853211</v>
      </c>
      <c r="I10" s="45" t="s">
        <v>326</v>
      </c>
    </row>
    <row r="11" customFormat="false" ht="45.75" hidden="false" customHeight="true" outlineLevel="0" collapsed="false">
      <c r="A11" s="82" t="s">
        <v>274</v>
      </c>
      <c r="B11" s="83" t="s">
        <v>275</v>
      </c>
      <c r="C11" s="84" t="n">
        <f aca="false">Методика!$B$19</f>
        <v>86000</v>
      </c>
      <c r="D11" s="85" t="s">
        <v>317</v>
      </c>
      <c r="E11" s="82" t="n">
        <v>100</v>
      </c>
      <c r="F11" s="86" t="s">
        <v>327</v>
      </c>
      <c r="G11" s="83" t="s">
        <v>279</v>
      </c>
      <c r="H11" s="87" t="n">
        <f aca="false">IFERROR(Все_объекты!P22,"")</f>
        <v>553.250345781466</v>
      </c>
      <c r="I11" s="88" t="s">
        <v>328</v>
      </c>
    </row>
    <row r="12" customFormat="false" ht="45.75" hidden="false" customHeight="true" outlineLevel="0" collapsed="false">
      <c r="A12" s="77" t="n">
        <v>9</v>
      </c>
      <c r="B12" s="78" t="s">
        <v>265</v>
      </c>
      <c r="C12" s="79" t="s">
        <v>321</v>
      </c>
      <c r="D12" s="80" t="s">
        <v>322</v>
      </c>
      <c r="E12" s="77" t="n">
        <v>85</v>
      </c>
      <c r="F12" s="44" t="s">
        <v>215</v>
      </c>
      <c r="G12" s="78" t="s">
        <v>216</v>
      </c>
      <c r="H12" s="81" t="n">
        <f aca="false">IFERROR(Все_объекты!P20,"")</f>
        <v>524.861878453039</v>
      </c>
      <c r="I12" s="45" t="s">
        <v>329</v>
      </c>
    </row>
    <row r="13" customFormat="false" ht="45.75" hidden="false" customHeight="true" outlineLevel="0" collapsed="false">
      <c r="A13" s="77" t="n">
        <v>10</v>
      </c>
      <c r="B13" s="78" t="s">
        <v>211</v>
      </c>
      <c r="C13" s="79" t="s">
        <v>321</v>
      </c>
      <c r="D13" s="80" t="s">
        <v>322</v>
      </c>
      <c r="E13" s="77" t="n">
        <v>80</v>
      </c>
      <c r="F13" s="44" t="s">
        <v>215</v>
      </c>
      <c r="G13" s="78" t="s">
        <v>216</v>
      </c>
      <c r="H13" s="81" t="n">
        <f aca="false">IFERROR(Все_объекты!P10,"")</f>
        <v>305.498981670061</v>
      </c>
      <c r="I13" s="45" t="s">
        <v>330</v>
      </c>
    </row>
    <row r="14" customFormat="false" ht="45.75" hidden="false" customHeight="true" outlineLevel="0" collapsed="false">
      <c r="A14" s="77" t="n">
        <v>11</v>
      </c>
      <c r="B14" s="78" t="s">
        <v>247</v>
      </c>
      <c r="C14" s="79" t="s">
        <v>321</v>
      </c>
      <c r="D14" s="80" t="s">
        <v>322</v>
      </c>
      <c r="E14" s="77" t="n">
        <v>80</v>
      </c>
      <c r="F14" s="44" t="s">
        <v>251</v>
      </c>
      <c r="G14" s="78" t="s">
        <v>252</v>
      </c>
      <c r="H14" s="81" t="n">
        <f aca="false">IFERROR(Все_объекты!P17,"")</f>
        <v>469.356984478936</v>
      </c>
      <c r="I14" s="45" t="s">
        <v>331</v>
      </c>
    </row>
    <row r="15" customFormat="false" ht="45.75" hidden="false" customHeight="true" outlineLevel="0" collapsed="false">
      <c r="A15" s="77" t="n">
        <v>12</v>
      </c>
      <c r="B15" s="78" t="s">
        <v>268</v>
      </c>
      <c r="C15" s="79" t="s">
        <v>321</v>
      </c>
      <c r="D15" s="80" t="s">
        <v>322</v>
      </c>
      <c r="E15" s="77" t="n">
        <v>75</v>
      </c>
      <c r="F15" s="44" t="s">
        <v>251</v>
      </c>
      <c r="G15" s="78" t="s">
        <v>252</v>
      </c>
      <c r="H15" s="81" t="n">
        <f aca="false">IFERROR(Все_объекты!P21,"")</f>
        <v>552</v>
      </c>
      <c r="I15" s="45" t="s">
        <v>332</v>
      </c>
    </row>
    <row r="16" customFormat="false" ht="45.75" hidden="false" customHeight="true" outlineLevel="0" collapsed="false">
      <c r="A16" s="77" t="n">
        <v>13</v>
      </c>
      <c r="B16" s="78" t="s">
        <v>255</v>
      </c>
      <c r="C16" s="79" t="s">
        <v>321</v>
      </c>
      <c r="D16" s="80" t="s">
        <v>322</v>
      </c>
      <c r="E16" s="77" t="n">
        <v>70</v>
      </c>
      <c r="F16" s="48" t="s">
        <v>240</v>
      </c>
      <c r="G16" s="78" t="s">
        <v>241</v>
      </c>
      <c r="H16" s="81" t="n">
        <f aca="false">IFERROR(Все_объекты!P18,"")</f>
        <v>478.011472275335</v>
      </c>
      <c r="I16" s="45" t="s">
        <v>333</v>
      </c>
    </row>
    <row r="17" customFormat="false" ht="45.75" hidden="false" customHeight="true" outlineLevel="0" collapsed="false">
      <c r="A17" s="77" t="n">
        <v>14</v>
      </c>
      <c r="B17" s="78" t="s">
        <v>282</v>
      </c>
      <c r="C17" s="79" t="s">
        <v>321</v>
      </c>
      <c r="D17" s="80" t="s">
        <v>322</v>
      </c>
      <c r="E17" s="77" t="n">
        <v>70</v>
      </c>
      <c r="F17" s="48" t="s">
        <v>174</v>
      </c>
      <c r="G17" s="78" t="s">
        <v>190</v>
      </c>
      <c r="H17" s="81" t="n">
        <f aca="false">IFERROR(Все_объекты!P23,"")</f>
        <v>583.333333333333</v>
      </c>
      <c r="I17" s="45" t="s">
        <v>334</v>
      </c>
    </row>
    <row r="18" customFormat="false" ht="45.75" hidden="false" customHeight="true" outlineLevel="0" collapsed="false">
      <c r="A18" s="77" t="n">
        <v>15</v>
      </c>
      <c r="B18" s="78" t="s">
        <v>238</v>
      </c>
      <c r="C18" s="79" t="s">
        <v>321</v>
      </c>
      <c r="D18" s="80" t="s">
        <v>322</v>
      </c>
      <c r="E18" s="77" t="n">
        <v>65</v>
      </c>
      <c r="F18" s="48" t="s">
        <v>240</v>
      </c>
      <c r="G18" s="78" t="s">
        <v>241</v>
      </c>
      <c r="H18" s="81" t="n">
        <f aca="false">IFERROR(Все_объекты!P15,"")</f>
        <v>376.518218623482</v>
      </c>
      <c r="I18" s="45" t="s">
        <v>335</v>
      </c>
    </row>
    <row r="19" customFormat="false" ht="45.75" hidden="false" customHeight="true" outlineLevel="0" collapsed="false">
      <c r="A19" s="77" t="n">
        <v>16</v>
      </c>
      <c r="B19" s="78" t="s">
        <v>235</v>
      </c>
      <c r="C19" s="79" t="s">
        <v>321</v>
      </c>
      <c r="D19" s="80" t="s">
        <v>322</v>
      </c>
      <c r="E19" s="77" t="n">
        <v>60</v>
      </c>
      <c r="F19" s="48" t="s">
        <v>174</v>
      </c>
      <c r="G19" s="78" t="s">
        <v>190</v>
      </c>
      <c r="H19" s="81" t="n">
        <f aca="false">IFERROR(Все_объекты!P14,"")</f>
        <v>373.913450584435</v>
      </c>
      <c r="I19" s="45" t="s">
        <v>336</v>
      </c>
    </row>
    <row r="20" customFormat="false" ht="45.75" hidden="false" customHeight="true" outlineLevel="0" collapsed="false">
      <c r="A20" s="77" t="n">
        <v>17</v>
      </c>
      <c r="B20" s="78" t="s">
        <v>288</v>
      </c>
      <c r="C20" s="79" t="s">
        <v>321</v>
      </c>
      <c r="D20" s="80" t="s">
        <v>322</v>
      </c>
      <c r="E20" s="77" t="n">
        <v>50</v>
      </c>
      <c r="F20" s="48" t="s">
        <v>174</v>
      </c>
      <c r="G20" s="78" t="s">
        <v>190</v>
      </c>
      <c r="H20" s="81" t="n">
        <f aca="false">IFERROR(Все_объекты!P24,"")</f>
        <v>612.371134020619</v>
      </c>
      <c r="I20" s="45" t="s">
        <v>337</v>
      </c>
    </row>
    <row r="21" customFormat="false" ht="45.75" hidden="false" customHeight="true" outlineLevel="0" collapsed="false">
      <c r="A21" s="77" t="n">
        <v>18</v>
      </c>
      <c r="B21" s="78" t="s">
        <v>188</v>
      </c>
      <c r="C21" s="79" t="s">
        <v>321</v>
      </c>
      <c r="D21" s="80" t="s">
        <v>322</v>
      </c>
      <c r="E21" s="77" t="n">
        <v>45</v>
      </c>
      <c r="F21" s="48" t="s">
        <v>174</v>
      </c>
      <c r="G21" s="78" t="s">
        <v>190</v>
      </c>
      <c r="H21" s="81" t="n">
        <f aca="false">IFERROR(Все_объекты!P6,"")</f>
        <v>224.358974358974</v>
      </c>
      <c r="I21" s="45" t="s">
        <v>338</v>
      </c>
    </row>
    <row r="22" customFormat="false" ht="45.75" hidden="false" customHeight="true" outlineLevel="0" collapsed="false">
      <c r="A22" s="77" t="n">
        <v>19</v>
      </c>
      <c r="B22" s="78" t="s">
        <v>193</v>
      </c>
      <c r="C22" s="79" t="s">
        <v>321</v>
      </c>
      <c r="D22" s="80" t="s">
        <v>322</v>
      </c>
      <c r="E22" s="77" t="n">
        <v>45</v>
      </c>
      <c r="F22" s="48" t="s">
        <v>174</v>
      </c>
      <c r="G22" s="78" t="s">
        <v>190</v>
      </c>
      <c r="H22" s="81" t="n">
        <f aca="false">IFERROR(Все_объекты!P7,"")</f>
        <v>275.229357798165</v>
      </c>
      <c r="I22" s="45" t="s">
        <v>339</v>
      </c>
    </row>
    <row r="23" customFormat="false" ht="45.75" hidden="false" customHeight="true" outlineLevel="0" collapsed="false">
      <c r="A23" s="77" t="n">
        <v>20</v>
      </c>
      <c r="B23" s="78" t="s">
        <v>225</v>
      </c>
      <c r="C23" s="79" t="s">
        <v>321</v>
      </c>
      <c r="D23" s="80" t="s">
        <v>322</v>
      </c>
      <c r="E23" s="77" t="n">
        <v>45</v>
      </c>
      <c r="F23" s="48" t="s">
        <v>174</v>
      </c>
      <c r="G23" s="78" t="s">
        <v>190</v>
      </c>
      <c r="H23" s="81" t="n">
        <f aca="false">IFERROR(Все_объекты!P12,"")</f>
        <v>352.212389380531</v>
      </c>
      <c r="I23" s="45" t="s">
        <v>340</v>
      </c>
    </row>
    <row r="24" customFormat="false" ht="45.75" hidden="false" customHeight="true" outlineLevel="0" collapsed="false">
      <c r="A24" s="77" t="n">
        <v>21</v>
      </c>
      <c r="B24" s="78" t="s">
        <v>260</v>
      </c>
      <c r="C24" s="79" t="s">
        <v>321</v>
      </c>
      <c r="D24" s="80" t="s">
        <v>322</v>
      </c>
      <c r="E24" s="77" t="n">
        <v>45</v>
      </c>
      <c r="F24" s="48" t="s">
        <v>174</v>
      </c>
      <c r="G24" s="78" t="s">
        <v>175</v>
      </c>
      <c r="H24" s="81" t="n">
        <f aca="false">IFERROR(Все_объекты!P19,"")</f>
        <v>521.376433785193</v>
      </c>
      <c r="I24" s="45" t="s">
        <v>341</v>
      </c>
    </row>
    <row r="25" customFormat="false" ht="45.75" hidden="false" customHeight="true" outlineLevel="0" collapsed="false">
      <c r="A25" s="77" t="n">
        <v>22</v>
      </c>
      <c r="B25" s="78" t="s">
        <v>169</v>
      </c>
      <c r="C25" s="79" t="s">
        <v>321</v>
      </c>
      <c r="D25" s="80" t="s">
        <v>322</v>
      </c>
      <c r="E25" s="77" t="n">
        <v>40</v>
      </c>
      <c r="F25" s="48" t="s">
        <v>174</v>
      </c>
      <c r="G25" s="78" t="s">
        <v>175</v>
      </c>
      <c r="H25" s="81" t="str">
        <f aca="false">IFERROR(Все_объекты!P4,"")</f>
        <v/>
      </c>
      <c r="I25" s="45" t="s">
        <v>340</v>
      </c>
    </row>
    <row r="26" customFormat="false" ht="45.75" hidden="false" customHeight="true" outlineLevel="0" collapsed="false">
      <c r="A26" s="77" t="n">
        <v>23</v>
      </c>
      <c r="B26" s="78" t="s">
        <v>200</v>
      </c>
      <c r="C26" s="79" t="s">
        <v>321</v>
      </c>
      <c r="D26" s="80" t="s">
        <v>322</v>
      </c>
      <c r="E26" s="77" t="n">
        <v>40</v>
      </c>
      <c r="F26" s="48" t="s">
        <v>174</v>
      </c>
      <c r="G26" s="78" t="s">
        <v>175</v>
      </c>
      <c r="H26" s="81" t="n">
        <f aca="false">IFERROR(Все_объекты!P8,"")</f>
        <v>279.850746268657</v>
      </c>
      <c r="I26" s="45" t="s">
        <v>342</v>
      </c>
    </row>
    <row r="27" customFormat="false" ht="45.75" hidden="false" customHeight="true" outlineLevel="0" collapsed="false">
      <c r="A27" s="77" t="n">
        <v>24</v>
      </c>
      <c r="B27" s="78" t="s">
        <v>219</v>
      </c>
      <c r="C27" s="79" t="s">
        <v>321</v>
      </c>
      <c r="D27" s="80" t="s">
        <v>322</v>
      </c>
      <c r="E27" s="77" t="n">
        <v>40</v>
      </c>
      <c r="F27" s="48" t="s">
        <v>174</v>
      </c>
      <c r="G27" s="78" t="s">
        <v>175</v>
      </c>
      <c r="H27" s="81" t="n">
        <f aca="false">IFERROR(Все_объекты!P11,"")</f>
        <v>351.219512195122</v>
      </c>
      <c r="I27" s="45" t="s">
        <v>343</v>
      </c>
    </row>
    <row r="29" customFormat="false" ht="19.5" hidden="false" customHeight="true" outlineLevel="0" collapsed="false">
      <c r="A29" s="89" t="s">
        <v>344</v>
      </c>
      <c r="B29" s="89"/>
      <c r="C29" s="89"/>
      <c r="D29" s="89"/>
      <c r="E29" s="89"/>
      <c r="F29" s="89"/>
      <c r="G29" s="89"/>
      <c r="H29" s="89"/>
      <c r="I29" s="89"/>
    </row>
    <row r="30" customFormat="false" ht="25.5" hidden="false" customHeight="true" outlineLevel="0" collapsed="false">
      <c r="A30" s="25" t="s">
        <v>345</v>
      </c>
      <c r="B30" s="25"/>
      <c r="C30" s="25"/>
      <c r="D30" s="25"/>
      <c r="E30" s="25"/>
      <c r="F30" s="25"/>
      <c r="G30" s="25"/>
      <c r="H30" s="25"/>
      <c r="I30" s="25"/>
    </row>
    <row r="31" customFormat="false" ht="12.75" hidden="false" customHeight="true" outlineLevel="0" collapsed="false">
      <c r="A31" s="25" t="s">
        <v>346</v>
      </c>
      <c r="B31" s="25"/>
      <c r="C31" s="25"/>
      <c r="D31" s="25"/>
      <c r="E31" s="25"/>
      <c r="F31" s="25"/>
      <c r="G31" s="25"/>
      <c r="H31" s="25"/>
      <c r="I31" s="25"/>
    </row>
    <row r="32" customFormat="false" ht="25.5" hidden="false" customHeight="true" outlineLevel="0" collapsed="false">
      <c r="A32" s="25" t="s">
        <v>347</v>
      </c>
      <c r="B32" s="25"/>
      <c r="C32" s="25"/>
      <c r="D32" s="25"/>
      <c r="E32" s="25"/>
      <c r="F32" s="25"/>
      <c r="G32" s="25"/>
      <c r="H32" s="25"/>
      <c r="I32" s="25"/>
    </row>
    <row r="33" customFormat="false" ht="25.5" hidden="false" customHeight="true" outlineLevel="0" collapsed="false">
      <c r="A33" s="25" t="s">
        <v>348</v>
      </c>
      <c r="B33" s="25"/>
      <c r="C33" s="25"/>
      <c r="D33" s="25"/>
      <c r="E33" s="25"/>
      <c r="F33" s="25"/>
      <c r="G33" s="25"/>
      <c r="H33" s="25"/>
      <c r="I33" s="25"/>
    </row>
    <row r="34" customFormat="false" ht="39" hidden="false" customHeight="true" outlineLevel="0" collapsed="false">
      <c r="A34" s="25" t="s">
        <v>349</v>
      </c>
      <c r="B34" s="25"/>
      <c r="C34" s="25"/>
      <c r="D34" s="25"/>
      <c r="E34" s="25"/>
      <c r="F34" s="25"/>
      <c r="G34" s="25"/>
      <c r="H34" s="25"/>
      <c r="I34" s="25"/>
    </row>
  </sheetData>
  <mergeCells count="8">
    <mergeCell ref="A1:I1"/>
    <mergeCell ref="A2:I2"/>
    <mergeCell ref="A29:I29"/>
    <mergeCell ref="A30:I30"/>
    <mergeCell ref="A31:I31"/>
    <mergeCell ref="A32:I32"/>
    <mergeCell ref="A33:I33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2026-08-11T08:08:20Z</dcterms:created>
  <dc:creator>openpyxl</dc:creator>
  <dc:description/>
  <dc:language>en-US</dc:language>
  <cp:lastModifiedBy/>
  <dcterms:modified xsi:type="dcterms:W3CDTF">2026-08-11T08:08:21Z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