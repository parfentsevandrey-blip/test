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се_объект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<sst xmlns="http://schemas.openxmlformats.org/spreadsheetml/2006/main" count="191" uniqueCount="144">
  <si>
    <t xml:space="preserve">Роттердам · стрит-ритейл · анализ предложения и арендных ставок</t>
  </si>
  <si>
    <t xml:space="preserve">Источник: funda in business, открытая экспозиция · 23 лота · наш объект — Oude Binnenweg 55, Rotterdam (115 м² 1-й этаж + 46,1 м² подвал = 161,10 м², €70 000/год)     |     Столбцы «€/м²/год», «€/м²/мес», «€/м² с поправкой на подвал», «Откл. от средней», «Откл. от медианы» — расчётные формулы     |     Все ставки — запрашиваемые, без НДС</t>
  </si>
  <si>
    <t xml:space="preserve">№</t>
  </si>
  <si>
    <t xml:space="preserve">Адрес</t>
  </si>
  <si>
    <t xml:space="preserve">Тип объекта</t>
  </si>
  <si>
    <t xml:space="preserve">Общая пл., м²</t>
  </si>
  <si>
    <t xml:space="preserve">1-й этаж, м²</t>
  </si>
  <si>
    <t xml:space="preserve">Подвал, м²</t>
  </si>
  <si>
    <t xml:space="preserve">Год</t>
  </si>
  <si>
    <t xml:space="preserve">Состояние (как в объявлении)</t>
  </si>
  <si>
    <t xml:space="preserve">Ставка, €/год</t>
  </si>
  <si>
    <t xml:space="preserve">€/м²/год</t>
  </si>
  <si>
    <t xml:space="preserve">€/м²/мес</t>
  </si>
  <si>
    <t xml:space="preserve">€/м²/год с поправкой на подвал</t>
  </si>
  <si>
    <t xml:space="preserve">Откл. от средней</t>
  </si>
  <si>
    <t xml:space="preserve">Откл. от медианы</t>
  </si>
  <si>
    <t xml:space="preserve">Проходимость (наш = 100)</t>
  </si>
  <si>
    <t xml:space="preserve">Класс локации</t>
  </si>
  <si>
    <t xml:space="preserve">Ссылка</t>
  </si>
  <si>
    <t xml:space="preserve">Schiedamsedijk 3, 3011 EB</t>
  </si>
  <si>
    <t xml:space="preserve">Салон-студии (аренда рабочего места)</t>
  </si>
  <si>
    <t xml:space="preserve">1981</t>
  </si>
  <si>
    <t xml:space="preserve">Оборудовано: кухня/бэк-бар, проф. свет, мойка</t>
  </si>
  <si>
    <t xml:space="preserve">B2</t>
  </si>
  <si>
    <t xml:space="preserve">https://www.fundainbusiness.nl/en/winkel/rotterdam/object-89674389-schiedamsedijk-3/</t>
  </si>
  <si>
    <t xml:space="preserve">Schiedamsedijk 8-A, 3011 EC</t>
  </si>
  <si>
    <t xml:space="preserve">Мультифункц. винкель + склад/гараж</t>
  </si>
  <si>
    <t xml:space="preserve">1950</t>
  </si>
  <si>
    <t xml:space="preserve">Не указано</t>
  </si>
  <si>
    <t xml:space="preserve">https://www.fundainbusiness.nl/en/winkel/rotterdam/object-43213501-schiedamsedijk-8-a/</t>
  </si>
  <si>
    <t xml:space="preserve">Korte Hoogstraat 9-A, 3011 GJ</t>
  </si>
  <si>
    <t xml:space="preserve">Винкель + шоурум, 2 уровня</t>
  </si>
  <si>
    <t xml:space="preserve">1954</t>
  </si>
  <si>
    <t xml:space="preserve">Casco</t>
  </si>
  <si>
    <t xml:space="preserve">A1 (прайм)</t>
  </si>
  <si>
    <t xml:space="preserve">https://www.fundainbusiness.nl/en/winkel/rotterdam/object-89259857-korte-hoogstraat-9-a/</t>
  </si>
  <si>
    <t xml:space="preserve">Schouwburgplein 9, 3012 CL</t>
  </si>
  <si>
    <t xml:space="preserve">Винкель + шоурум</t>
  </si>
  <si>
    <t xml:space="preserve">н/д</t>
  </si>
  <si>
    <t xml:space="preserve">A2</t>
  </si>
  <si>
    <t xml:space="preserve">https://www.fundainbusiness.nl/en/winkel/rotterdam/object-89056875-schouwburgplein-9/</t>
  </si>
  <si>
    <t xml:space="preserve">Goudsesingel 247, 3031 EL</t>
  </si>
  <si>
    <t xml:space="preserve">Винкель (verkoopruimte)</t>
  </si>
  <si>
    <t xml:space="preserve">1956</t>
  </si>
  <si>
    <t xml:space="preserve">Тек. состояние, свободно и пусто</t>
  </si>
  <si>
    <t xml:space="preserve">B1</t>
  </si>
  <si>
    <t xml:space="preserve">https://www.fundainbusiness.nl/en/winkel/rotterdam/object-44493275-goudsesingel-247/</t>
  </si>
  <si>
    <t xml:space="preserve">Groenendaal 245, 3011 ZW</t>
  </si>
  <si>
    <t xml:space="preserve">Casco (без отделки)</t>
  </si>
  <si>
    <t xml:space="preserve">https://www.fundainbusiness.nl/en/winkel/rotterdam/object-80838997-groenendaal-245/</t>
  </si>
  <si>
    <t xml:space="preserve">Korte Hoogstraat 19, 3011 GK</t>
  </si>
  <si>
    <t xml:space="preserve">Винкель + шоурум, 3 уровня</t>
  </si>
  <si>
    <t xml:space="preserve">1953</t>
  </si>
  <si>
    <t xml:space="preserve">Casco / тек. состояние</t>
  </si>
  <si>
    <t xml:space="preserve">https://www.fundainbusiness.nl/en/winkel/rotterdam/object-43523125-korte-hoogstraat-19/</t>
  </si>
  <si>
    <t xml:space="preserve">Westblaak 159, 3012 KJ</t>
  </si>
  <si>
    <t xml:space="preserve">1978</t>
  </si>
  <si>
    <t xml:space="preserve">https://www.fundainbusiness.nl/en/winkel/rotterdam/object-89729432-westblaak-159/</t>
  </si>
  <si>
    <t xml:space="preserve">Goudsesingel 227-229, 3031 EK</t>
  </si>
  <si>
    <t xml:space="preserve">В состоянии сдачи тек. арендатором</t>
  </si>
  <si>
    <t xml:space="preserve">https://www.fundainbusiness.nl/en/winkel/rotterdam/object-89678041-goudsesingel-227-229/</t>
  </si>
  <si>
    <t xml:space="preserve">Karel Doormanstraat 257-259, 3012 GH</t>
  </si>
  <si>
    <t xml:space="preserve">Винкель</t>
  </si>
  <si>
    <t xml:space="preserve">1987</t>
  </si>
  <si>
    <t xml:space="preserve">Casco, свободно и чисто</t>
  </si>
  <si>
    <t xml:space="preserve">A2 / B1</t>
  </si>
  <si>
    <t xml:space="preserve">https://www.fundainbusiness.nl/en/winkel/rotterdam/object-43039916-karel-doormanstraat-257-259/</t>
  </si>
  <si>
    <t xml:space="preserve">Witte de Withstraat 2, 3012 BP</t>
  </si>
  <si>
    <t xml:space="preserve">1928</t>
  </si>
  <si>
    <t xml:space="preserve">Тек. состояние: пантри, с/у, потолок с АС, камеры, полы</t>
  </si>
  <si>
    <t xml:space="preserve">B1 (культура/хорека)</t>
  </si>
  <si>
    <t xml:space="preserve">https://www.fundainbusiness.nl/en/winkel/rotterdam/object-43206580-witte-de-withstraat-2/</t>
  </si>
  <si>
    <t xml:space="preserve">Schiedamse Vest 89, 3012 BG</t>
  </si>
  <si>
    <t xml:space="preserve">Casco, пусто и чисто</t>
  </si>
  <si>
    <t xml:space="preserve">https://www.fundainbusiness.nl/en/winkel/rotterdam/object-43208908-schiedamse-vest-89/</t>
  </si>
  <si>
    <t xml:space="preserve">Witte de Withstraat 55-57, 3012 BM</t>
  </si>
  <si>
    <t xml:space="preserve">1876</t>
  </si>
  <si>
    <t xml:space="preserve">https://www.fundainbusiness.nl/en/winkel/rotterdam/object-80869534-witte-de-withstraat-55-57/</t>
  </si>
  <si>
    <t xml:space="preserve">Mariniersweg 82-A, 3011 NT</t>
  </si>
  <si>
    <t xml:space="preserve">https://www.fundainbusiness.nl/en/winkel/rotterdam/object-89703046-mariniersweg-82-a/</t>
  </si>
  <si>
    <t xml:space="preserve">Botersloot 52-A, 3011 HJ</t>
  </si>
  <si>
    <t xml:space="preserve">Тек. состояние / casco</t>
  </si>
  <si>
    <t xml:space="preserve">https://www.fundainbusiness.nl/en/winkel/rotterdam/object-80866980-botersloot-52-a/</t>
  </si>
  <si>
    <t xml:space="preserve">Van Oldenbarneveltstraat 97, 3012 GS</t>
  </si>
  <si>
    <t xml:space="preserve">https://www.fundainbusiness.nl/en/winkel/rotterdam/object-89457010-van-oldenbarneveltstraat-97/</t>
  </si>
  <si>
    <t xml:space="preserve">Oude Binnenweg 117-119, 3012 JC</t>
  </si>
  <si>
    <t xml:space="preserve">ХОРЕКА: кафетерий / сэндвич-бар (дневная)</t>
  </si>
  <si>
    <t xml:space="preserve">1997</t>
  </si>
  <si>
    <t xml:space="preserve">С инвентарём; гудвилл €50 000</t>
  </si>
  <si>
    <t xml:space="preserve">A2 (та же улица)</t>
  </si>
  <si>
    <t xml:space="preserve">https://www.fundainbusiness.nl/en/horeca/rotterdam/object-43394280-oude-binnenweg-117-119/</t>
  </si>
  <si>
    <t xml:space="preserve">—</t>
  </si>
  <si>
    <t xml:space="preserve">◄ НАШ ОБЪЕКТ · Oude Binnenweg 55, 3012 JA</t>
  </si>
  <si>
    <t xml:space="preserve">Стрит-ритейл (winkel), 1 эт. + подвал</t>
  </si>
  <si>
    <t xml:space="preserve">Тек. состояние (данные клиента)</t>
  </si>
  <si>
    <t xml:space="preserve">A2 (A-локация, Ooms)</t>
  </si>
  <si>
    <t xml:space="preserve">https://www.ilocate.nl/details/huur-rotterdam-oude-binnenweg-55-3012-ja</t>
  </si>
  <si>
    <t xml:space="preserve">Oude Binnenweg 150-A, 3012 JH</t>
  </si>
  <si>
    <t xml:space="preserve">ХОРЕКА: снек-бар / кафетерий / мороженое</t>
  </si>
  <si>
    <t xml:space="preserve">до 1906</t>
  </si>
  <si>
    <t xml:space="preserve">Готово к работе (instapklaar), 3 уровня</t>
  </si>
  <si>
    <t xml:space="preserve">https://www.fundainbusiness.nl/en/horeca/rotterdam/object-44463783-oude-binnenweg-150-a/</t>
  </si>
  <si>
    <t xml:space="preserve">Lijnbaan 58, 3012 EP</t>
  </si>
  <si>
    <t xml:space="preserve">https://www.fundainbusiness.nl/en/winkel/rotterdam/object-43305735-lijnbaan-58/</t>
  </si>
  <si>
    <t xml:space="preserve">Karel Doormanstraat 320-322, 3012 GP</t>
  </si>
  <si>
    <t xml:space="preserve">https://www.fundainbusiness.nl/en/winkel/rotterdam/object-89795637-karel-doormanstraat-320-322/</t>
  </si>
  <si>
    <t xml:space="preserve">Karel Doormanstraat 451-A, 3012 GH</t>
  </si>
  <si>
    <t xml:space="preserve">Praktijkruimte (меблир., all-in)</t>
  </si>
  <si>
    <t xml:space="preserve">Полностью меблировано; вкл. интернет, электр., кухню</t>
  </si>
  <si>
    <t xml:space="preserve">https://www.fundainbusiness.nl/en/praktijkruimte/rotterdam/object-43330150-karel-doormanstraat-451-a/</t>
  </si>
  <si>
    <t xml:space="preserve">Meent 96, 3011 JR</t>
  </si>
  <si>
    <t xml:space="preserve">1945-59</t>
  </si>
  <si>
    <t xml:space="preserve">Casco (коммуникации до счётчика, с/у, пантри)</t>
  </si>
  <si>
    <t xml:space="preserve">A1 (по брокеру)</t>
  </si>
  <si>
    <t xml:space="preserve">https://www.fundainbusiness.nl/en/winkel/rotterdam/object-89672108-meent-96/</t>
  </si>
  <si>
    <t xml:space="preserve">Meent 121, 3011 JH</t>
  </si>
  <si>
    <t xml:space="preserve">https://www.fundainbusiness.nl/en/winkel/rotterdam/object-89465042-meent-121/</t>
  </si>
  <si>
    <t xml:space="preserve">ИТОГО  /  СРЕДНЕЕ   (20 сопоставимых лотов из 23; 3 исключены — см. оговорки)</t>
  </si>
  <si>
    <t xml:space="preserve">n = 20</t>
  </si>
  <si>
    <t xml:space="preserve">МЕДИАНА ПО РЫНКУ</t>
  </si>
  <si>
    <t xml:space="preserve">МЕДИАНА ПО ПОХОЖИМ ПО РАЗМЕРУ (100–210 м², 9 лотов) — главный ориентир</t>
  </si>
  <si>
    <t xml:space="preserve">◄ НАСКОЛЬКО МЫ ДОРОЖЕ</t>
  </si>
  <si>
    <t xml:space="preserve">ВЫВОД:  МЫ В РЫНКЕ.  Но у верхней границы — запаса для повышения нет.</t>
  </si>
  <si>
    <t xml:space="preserve">•  Наша ставка — €70 000 в год, это €435 за м² в год (€36,21 за м² в месяц). У помещений похожего размера (100–210 м²) середина рынка — €418. Мы дороже на 4%. Это нормальная разница, торговаться будут, но ставка защитима.</t>
  </si>
  <si>
    <t xml:space="preserve">•  Если сравнивать со ВСЕЙ таблицей, мы выглядим дорого: +38% к медиане. Это обманчиво. В таблице много помещений по 400–834 м² — там цена за метр всегда ниже просто из-за размера. И много слабых улиц, где людей ходит вдвое меньше, чем у нас. Сравнивать надо с похожими, а не со всеми.</t>
  </si>
  <si>
    <t xml:space="preserve">•  Подвал нельзя считать как торговый зал. У нас подвал — это 29% площади. В Голландии подвал стоит 20–25% от цены первого этажа, потому что это склад, а не торговля. С этой поправкой наш метр стоит €553. Без поправки сравнение с помещениями без подвала (Karel Doormanstraat 320-322, Van Oldenbarneveltstraat 97) просто некорректно.</t>
  </si>
  <si>
    <t xml:space="preserve">•  По людям мы в верхней трети. Мимо нас проходит 86 000 человек в неделю. Лучше нас только 5 помещений из 22: Lijnbaan, два на Korte Hoogstraat и два на Meent. Хуже нас — 15, то есть две трети таблицы.</t>
  </si>
  <si>
    <t xml:space="preserve">•  ГЛАВНЫЙ АРГУМЕНТ ЗА НАС — Meent 121. Там 160 м² (у нас 161 м², почти одно и то же) и просят €130 000 в год. Мы просим €70 000 — почти вдвое дешевле помещения такого же размера на более сильной улице.</t>
  </si>
  <si>
    <t xml:space="preserve">•  ГЛАВНЫЙ АРГУМЕНТ ПРОТИВ НАС — Van Oldenbarneveltstraat 97. 109 м² чистого первого этажа в самом центре за €45 600. Наш первый этаж в пересчёте стоит дороже. Что отвечать: у них НЕТ подвала вообще, а сверху ещё €3 300 в год сервисных расходов. У нас подвал 46,1 м² уже в цене.</t>
  </si>
  <si>
    <t xml:space="preserve">•  ЕЩЁ ОДНА ОПОРА — наша же улица. Два кафе на Oude Binnenweg (дома 150-A и 117-119) просят €493 и €432 за метр. Мы просим €435. И стоим при этом в более людной, восточной половине улицы — они в тихой западной.</t>
  </si>
  <si>
    <t xml:space="preserve">•  СКОЛЬКО РЕАЛЬНО ЗАКРОЕТСЯ: €62 000 – 70 000 в год. В Голландии стрит-ритейл торгуется на 5–15% вниз от объявления. Хотите быстро сдать — ориентир €63 000–65 000 плюс 2–3 месяца бесплатно на ремонт. Хотите держать €70 000 — аргументы: подвал 46,1 м² в цене, витрина 8 м, 86 000 человек в неделю, и разрыв вдвое с Meent 121.</t>
  </si>
  <si>
    <t xml:space="preserve">МЕТОДИКА И ОГОВОРКИ</t>
  </si>
  <si>
    <t xml:space="preserve">•  «€/м²/год» = ставка ÷ общую площадь. «€/м²/год с поправкой на подвал» = ставка ÷ (1-й этаж + подвал×0,25 + антресоль/2-й этаж×0,35). Второй показатель корректнее: доля подвала в выборке гуляет от 0% (Groenendaal, Karel Doormanstraat, Van Oldenbarneveltstraat, Westblaak) до 55% (Botersloot 52-A). «Откл. от средней» и «Откл. от медианы» считаются от простого €/м²/год по 20 сопоставимым лотам.</t>
  </si>
  <si>
    <t xml:space="preserve">•  Все ставки — ЗАПРАШИВАЕМЫЕ и БЕЗ НДС. Это цена в объявлении, а не цена сделки. В Голландии закрываются на 5–15% ниже, плюс дают 1–3 месяца бесплатно и вклад в отделку — этого в объявлениях не пишут. То есть реальный рынок ниже, чем показывает медиана в таблице.</t>
  </si>
  <si>
    <t xml:space="preserve">•  В задании указано €35,79 за м² в месяц — эта цифра не сходится. €70 000 ÷ 161,10 м² ÷ 12 = €36,21. Значение 35,79 получается при площади 162,98 м². Во всех расчётах взята ставка €70 000/год как первичная.</t>
  </si>
  <si>
    <t xml:space="preserve">•  Площадь нашего помещения в трёх источниках разная: вы дали 115 + 46,1 = 161,10 м²; объявление Ooms/iLocate по этому же адресу — ок. 120 + 42 = 162 м²; сделка со Scotch &amp; Soda (2016) описывалась как ок. 127 + 60 м². До переговоров нужен обмер по NEN 2580.</t>
  </si>
  <si>
    <t xml:space="preserve">•  ВАЖНО: ваше помещение, судя по всему, СЕЙЧАС В РЕКЛАМЕ. Ooms Makelaars предлагает Oude Binnenweg 55 в аренду, срок 10 + 2×5 лет, цена «по запросу». Если €70 000 — это ваш запрос, а не подписанный договор, то это потолок торга, и вывод «мы в рынке» относится именно к запрашиваемому уровню.</t>
  </si>
  <si>
    <t xml:space="preserve">•  Witte de Withstraat 2 и Schiedamse Vest 89 — почти наверняка ОДНО И ТО ЖЕ помещение: совпадают площадь (401 м²), ставка (€125 000), сервис (€20/м²/год) и год постройки (1928); разбивка «этаж/подвал» зеркально перевёрнута; это угловое здание на пересечении этих двух улиц, просто рекламируют два разных брокера. В расчёт взято один раз, второе выделено серым.</t>
  </si>
  <si>
    <t xml:space="preserve">•  Два лота выкинуты как несопоставимые (выделены серым): Karel Doormanstraat 451-A — кабинет 18 м² за €875/мес, где в цену входят интернет, электричество и кухня, и можно снимать по дням: это продажа услуги, а не аренда помещения. Schiedamsedijk 3 — €990/мес за ОДНО рабочее место от 12 м² в салоне Gallery Salon Studios, а не за помещение 99 м²; прямое деление дало бы фальшивые €120/м².</t>
  </si>
  <si>
    <t xml:space="preserve">•  ПРОХОДИМОСТЬ. Реально измерены только три улицы: Hoogstraat 260 000 чел./нед. и Lijnbaan 213 000 чел./нед. (RetailSonar, по данным смартфонов), наша Oude Binnenweg 86 000 чел./нед. (Ooms Makelaars, по соседнему помещению 57A). Всё остальное в столбце — НАША ОЦЕНКА по классу улицы, её функции и удалённости от центра. В переговорах ссылайтесь только на три измеренных, оценки оспорят.</t>
  </si>
  <si>
    <t xml:space="preserve">•  Наша позиция на улице лучше, чем у двух соседей по таблице. Oude Binnenweg 55 стоит в восточной половине улицы (её отстроили после бомбёжки, отсюда 1953 год) — это сторона Binnenwegplein, рядом ANWB, My Jewellery, дальше TK Maxx, MediaMarkt, Uniqlo. Дома 113–150 стоят в довоенной западной половине у Eendrachtsplein — там тише.</t>
  </si>
  <si>
    <t xml:space="preserve">•  Сервисные расходы в цену за метр НЕ включены. У конкурентов они гуляют от €0 до €37,50 за м² в год (Westblaak 159 — это +13% к ставке). При сравнении полной стоимости их надо приплюсовывать.</t>
  </si>
  <si>
    <t xml:space="preserve">•  Почти вся выборка сдаётся casco — голые стены, без отделки. Если вы сдаёте помещение с отделкой, это отдельный плюс к ставке, и его надо заявить в переговорах. По нашему объекту состояние сдачи не подтверждено.</t>
  </si>
  <si>
    <t xml:space="preserve">•  Разбивка по этажам у Lijnbaan 58 оценочная (395 м² на двух уровнях, разбивки в объявлении нет — принято ~200 + ~195). У Schiedamsedijk 8-A объявление противоречит себе: заявлено 200 м², а по уровням 80 + 90 = 170 м². У Oude Binnenweg 150-A разбивка приблизительная. На эти три строки в переговорах не опирайтесь.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</si>
</sst>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&quot; €&quot;"/>
    <numFmt numFmtId="167" formatCode="#,##0.00&quot; €&quot;"/>
    <numFmt numFmtId="168" formatCode="\+0.0%;\-0.0%;0.0%"/>
    <numFmt numFmtId="169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C00000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E7B34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9"/>
      <color rgb="FF1E7B3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1E7B3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8" min="8" style="0" width="28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20"/>
    <col collapsed="false" customWidth="true" hidden="false" outlineLevel="0" max="17" min="17" style="0" width="42"/>
    <col collapsed="false" customWidth="true" hidden="true" outlineLevel="0" max="19" min="18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30" hidden="false" customHeight="true" outlineLevel="0" collapsed="false">
      <c r="A4" s="4" t="n">
        <v>1</v>
      </c>
      <c r="B4" s="5" t="s">
        <v>19</v>
      </c>
      <c r="C4" s="5" t="s">
        <v>20</v>
      </c>
      <c r="D4" s="6" t="n">
        <v>99</v>
      </c>
      <c r="E4" s="6"/>
      <c r="F4" s="6"/>
      <c r="G4" s="4" t="s">
        <v>21</v>
      </c>
      <c r="H4" s="5" t="s">
        <v>22</v>
      </c>
      <c r="I4" s="7" t="n">
        <v>11880</v>
      </c>
      <c r="J4" s="7" t="n">
        <f aca="false">I4/D4</f>
        <v>120</v>
      </c>
      <c r="K4" s="8" t="n">
        <f aca="false">J4/12</f>
        <v>10</v>
      </c>
      <c r="L4" s="7" t="str">
        <f aca="false">IFERROR(I4/(E4+0.25*F4+0.35*0),"н/д")</f>
        <v>н/д</v>
      </c>
      <c r="M4" s="9" t="n">
        <f aca="false">IFERROR(J4/AVERAGE($R$4:$R$27)-1,"")</f>
        <v>-0.674233062545883</v>
      </c>
      <c r="N4" s="9" t="n">
        <f aca="false">IFERROR(J4/MEDIAN($R$4:$R$27)-1,"")</f>
        <v>-0.61917688669657</v>
      </c>
      <c r="O4" s="10" t="n">
        <v>40</v>
      </c>
      <c r="P4" s="5" t="s">
        <v>23</v>
      </c>
      <c r="Q4" s="11" t="s">
        <v>24</v>
      </c>
      <c r="S4" s="0" t="str">
        <f aca="false">IF(AND(ISNUMBER($R4),$D4&gt;=100,$D4&lt;=210),$J4,"")</f>
        <v/>
      </c>
    </row>
    <row r="5" customFormat="false" ht="30" hidden="false" customHeight="true" outlineLevel="0" collapsed="false">
      <c r="A5" s="12" t="n">
        <v>2</v>
      </c>
      <c r="B5" s="13" t="s">
        <v>25</v>
      </c>
      <c r="C5" s="13" t="s">
        <v>26</v>
      </c>
      <c r="D5" s="14" t="n">
        <v>200</v>
      </c>
      <c r="E5" s="14" t="n">
        <v>80</v>
      </c>
      <c r="F5" s="14" t="n">
        <v>90</v>
      </c>
      <c r="G5" s="12" t="s">
        <v>27</v>
      </c>
      <c r="H5" s="13" t="s">
        <v>28</v>
      </c>
      <c r="I5" s="15" t="n">
        <v>36000</v>
      </c>
      <c r="J5" s="15" t="n">
        <f aca="false">I5/D5</f>
        <v>180</v>
      </c>
      <c r="K5" s="16" t="n">
        <f aca="false">J5/12</f>
        <v>15</v>
      </c>
      <c r="L5" s="15" t="n">
        <f aca="false">IFERROR(I5/(E5+0.25*F5+0.35*0),"н/д")</f>
        <v>351.219512195122</v>
      </c>
      <c r="M5" s="17" t="n">
        <f aca="false">IFERROR(J5/AVERAGE($R$4:$R$27)-1,"")</f>
        <v>-0.511349593818825</v>
      </c>
      <c r="N5" s="17" t="n">
        <f aca="false">IFERROR(J5/MEDIAN($R$4:$R$27)-1,"")</f>
        <v>-0.428765330044855</v>
      </c>
      <c r="O5" s="18" t="n">
        <v>40</v>
      </c>
      <c r="P5" s="13" t="s">
        <v>23</v>
      </c>
      <c r="Q5" s="19" t="s">
        <v>29</v>
      </c>
      <c r="R5" s="20" t="n">
        <f aca="false">J5</f>
        <v>180</v>
      </c>
      <c r="S5" s="20" t="n">
        <f aca="false">IF(AND(ISNUMBER($R5),$D5&gt;=100,$D5&lt;=210),$J5,"")</f>
        <v>180</v>
      </c>
    </row>
    <row r="6" customFormat="false" ht="30" hidden="false" customHeight="true" outlineLevel="0" collapsed="false">
      <c r="A6" s="12" t="n">
        <v>3</v>
      </c>
      <c r="B6" s="13" t="s">
        <v>30</v>
      </c>
      <c r="C6" s="13" t="s">
        <v>31</v>
      </c>
      <c r="D6" s="14" t="n">
        <v>834</v>
      </c>
      <c r="E6" s="14" t="n">
        <v>476</v>
      </c>
      <c r="F6" s="14" t="n">
        <v>358</v>
      </c>
      <c r="G6" s="12" t="s">
        <v>32</v>
      </c>
      <c r="H6" s="13" t="s">
        <v>33</v>
      </c>
      <c r="I6" s="15" t="n">
        <v>171000</v>
      </c>
      <c r="J6" s="15" t="n">
        <f aca="false">I6/D6</f>
        <v>205.035971223022</v>
      </c>
      <c r="K6" s="16" t="n">
        <f aca="false">J6/12</f>
        <v>17.0863309352518</v>
      </c>
      <c r="L6" s="15" t="n">
        <f aca="false">IFERROR(I6/(E6+0.25*F6+0.35*0),"н/д")</f>
        <v>302.387267904509</v>
      </c>
      <c r="M6" s="17" t="n">
        <f aca="false">IFERROR(J6/AVERAGE($R$4:$R$27)-1,"")</f>
        <v>-0.443383829889549</v>
      </c>
      <c r="N6" s="17" t="n">
        <f aca="false">IFERROR(J6/MEDIAN($R$4:$R$27)-1,"")</f>
        <v>-0.34931302583047</v>
      </c>
      <c r="O6" s="21" t="n">
        <v>300</v>
      </c>
      <c r="P6" s="13" t="s">
        <v>34</v>
      </c>
      <c r="Q6" s="19" t="s">
        <v>35</v>
      </c>
      <c r="R6" s="20" t="n">
        <f aca="false">J6</f>
        <v>205.035971223022</v>
      </c>
      <c r="S6" s="0" t="str">
        <f aca="false">IF(AND(ISNUMBER($R6),$D6&gt;=100,$D6&lt;=210),$J6,"")</f>
        <v/>
      </c>
    </row>
    <row r="7" customFormat="false" ht="30" hidden="false" customHeight="true" outlineLevel="0" collapsed="false">
      <c r="A7" s="12" t="n">
        <v>4</v>
      </c>
      <c r="B7" s="13" t="s">
        <v>36</v>
      </c>
      <c r="C7" s="13" t="s">
        <v>37</v>
      </c>
      <c r="D7" s="14" t="n">
        <v>356</v>
      </c>
      <c r="E7" s="14" t="n">
        <v>356</v>
      </c>
      <c r="F7" s="14" t="n">
        <v>0</v>
      </c>
      <c r="G7" s="12" t="s">
        <v>38</v>
      </c>
      <c r="H7" s="13" t="s">
        <v>33</v>
      </c>
      <c r="I7" s="15" t="n">
        <v>74760</v>
      </c>
      <c r="J7" s="15" t="n">
        <f aca="false">I7/D7</f>
        <v>210</v>
      </c>
      <c r="K7" s="16" t="n">
        <f aca="false">J7/12</f>
        <v>17.5</v>
      </c>
      <c r="L7" s="15" t="n">
        <f aca="false">IFERROR(I7/(E7+0.25*F7+0.35*0),"н/д")</f>
        <v>210</v>
      </c>
      <c r="M7" s="17" t="n">
        <f aca="false">IFERROR(J7/AVERAGE($R$4:$R$27)-1,"")</f>
        <v>-0.429907859455296</v>
      </c>
      <c r="N7" s="17" t="n">
        <f aca="false">IFERROR(J7/MEDIAN($R$4:$R$27)-1,"")</f>
        <v>-0.333559551718998</v>
      </c>
      <c r="O7" s="22" t="n">
        <v>105</v>
      </c>
      <c r="P7" s="13" t="s">
        <v>39</v>
      </c>
      <c r="Q7" s="19" t="s">
        <v>40</v>
      </c>
      <c r="R7" s="20" t="n">
        <f aca="false">J7</f>
        <v>210</v>
      </c>
      <c r="S7" s="0" t="str">
        <f aca="false">IF(AND(ISNUMBER($R7),$D7&gt;=100,$D7&lt;=210),$J7,"")</f>
        <v/>
      </c>
    </row>
    <row r="8" customFormat="false" ht="30" hidden="false" customHeight="true" outlineLevel="0" collapsed="false">
      <c r="A8" s="12" t="n">
        <v>5</v>
      </c>
      <c r="B8" s="13" t="s">
        <v>41</v>
      </c>
      <c r="C8" s="13" t="s">
        <v>42</v>
      </c>
      <c r="D8" s="14" t="n">
        <v>136</v>
      </c>
      <c r="E8" s="14" t="n">
        <v>100</v>
      </c>
      <c r="F8" s="14" t="n">
        <v>36</v>
      </c>
      <c r="G8" s="12" t="s">
        <v>43</v>
      </c>
      <c r="H8" s="13" t="s">
        <v>44</v>
      </c>
      <c r="I8" s="15" t="n">
        <v>30000</v>
      </c>
      <c r="J8" s="15" t="n">
        <f aca="false">I8/D8</f>
        <v>220.588235294118</v>
      </c>
      <c r="K8" s="16" t="n">
        <f aca="false">J8/12</f>
        <v>18.3823529411765</v>
      </c>
      <c r="L8" s="15" t="n">
        <f aca="false">IFERROR(I8/(E8+0.25*F8+0.35*0),"н/д")</f>
        <v>275.229357798165</v>
      </c>
      <c r="M8" s="17" t="n">
        <f aca="false">IFERROR(J8/AVERAGE($R$4:$R$27)-1,"")</f>
        <v>-0.401163717915227</v>
      </c>
      <c r="N8" s="17" t="n">
        <f aca="false">IFERROR(J8/MEDIAN($R$4:$R$27)-1,"")</f>
        <v>-0.299957512309871</v>
      </c>
      <c r="O8" s="18" t="n">
        <v>45</v>
      </c>
      <c r="P8" s="13" t="s">
        <v>45</v>
      </c>
      <c r="Q8" s="19" t="s">
        <v>46</v>
      </c>
      <c r="R8" s="20" t="n">
        <f aca="false">J8</f>
        <v>220.588235294118</v>
      </c>
      <c r="S8" s="20" t="n">
        <f aca="false">IF(AND(ISNUMBER($R8),$D8&gt;=100,$D8&lt;=210),$J8,"")</f>
        <v>220.588235294118</v>
      </c>
    </row>
    <row r="9" customFormat="false" ht="30" hidden="false" customHeight="true" outlineLevel="0" collapsed="false">
      <c r="A9" s="12" t="n">
        <v>6</v>
      </c>
      <c r="B9" s="13" t="s">
        <v>47</v>
      </c>
      <c r="C9" s="13" t="s">
        <v>37</v>
      </c>
      <c r="D9" s="14" t="n">
        <v>468</v>
      </c>
      <c r="E9" s="14" t="n">
        <v>468</v>
      </c>
      <c r="F9" s="14" t="n">
        <v>0</v>
      </c>
      <c r="G9" s="12" t="s">
        <v>38</v>
      </c>
      <c r="H9" s="13" t="s">
        <v>48</v>
      </c>
      <c r="I9" s="15" t="n">
        <v>105000</v>
      </c>
      <c r="J9" s="15" t="n">
        <f aca="false">I9/D9</f>
        <v>224.358974358974</v>
      </c>
      <c r="K9" s="16" t="n">
        <f aca="false">J9/12</f>
        <v>18.6965811965812</v>
      </c>
      <c r="L9" s="15" t="n">
        <f aca="false">IFERROR(I9/(E9+0.25*F9+0.35*0),"н/д")</f>
        <v>224.358974358974</v>
      </c>
      <c r="M9" s="17" t="n">
        <f aca="false">IFERROR(J9/AVERAGE($R$4:$R$27)-1,"")</f>
        <v>-0.390927200272752</v>
      </c>
      <c r="N9" s="17" t="n">
        <f aca="false">IFERROR(J9/MEDIAN($R$4:$R$27)-1,"")</f>
        <v>-0.287990974058758</v>
      </c>
      <c r="O9" s="18" t="n">
        <v>45</v>
      </c>
      <c r="P9" s="13" t="s">
        <v>45</v>
      </c>
      <c r="Q9" s="19" t="s">
        <v>49</v>
      </c>
      <c r="R9" s="20" t="n">
        <f aca="false">J9</f>
        <v>224.358974358974</v>
      </c>
      <c r="S9" s="0" t="str">
        <f aca="false">IF(AND(ISNUMBER($R9),$D9&gt;=100,$D9&lt;=210),$J9,"")</f>
        <v/>
      </c>
    </row>
    <row r="10" customFormat="false" ht="30" hidden="false" customHeight="true" outlineLevel="0" collapsed="false">
      <c r="A10" s="12" t="n">
        <v>7</v>
      </c>
      <c r="B10" s="13" t="s">
        <v>50</v>
      </c>
      <c r="C10" s="13" t="s">
        <v>51</v>
      </c>
      <c r="D10" s="14" t="n">
        <v>465</v>
      </c>
      <c r="E10" s="14" t="n">
        <v>235</v>
      </c>
      <c r="F10" s="14" t="n">
        <v>165</v>
      </c>
      <c r="G10" s="12" t="s">
        <v>52</v>
      </c>
      <c r="H10" s="13" t="s">
        <v>53</v>
      </c>
      <c r="I10" s="15" t="n">
        <v>107400</v>
      </c>
      <c r="J10" s="15" t="n">
        <f aca="false">I10/D10</f>
        <v>230.967741935484</v>
      </c>
      <c r="K10" s="16" t="n">
        <f aca="false">J10/12</f>
        <v>19.247311827957</v>
      </c>
      <c r="L10" s="15" t="n">
        <f aca="false">IFERROR(I10/(E10+0.25*F10+0.35*65),"н/д")</f>
        <v>359.197324414716</v>
      </c>
      <c r="M10" s="17" t="n">
        <f aca="false">IFERROR(J10/AVERAGE($R$4:$R$27)-1,"")</f>
        <v>-0.372986217158206</v>
      </c>
      <c r="N10" s="17" t="n">
        <f aca="false">IFERROR(J10/MEDIAN($R$4:$R$27)-1,"")</f>
        <v>-0.267017878695549</v>
      </c>
      <c r="O10" s="21" t="n">
        <v>300</v>
      </c>
      <c r="P10" s="13" t="s">
        <v>34</v>
      </c>
      <c r="Q10" s="19" t="s">
        <v>54</v>
      </c>
      <c r="R10" s="20" t="n">
        <f aca="false">J10</f>
        <v>230.967741935484</v>
      </c>
      <c r="S10" s="0" t="str">
        <f aca="false">IF(AND(ISNUMBER($R10),$D10&gt;=100,$D10&lt;=210),$J10,"")</f>
        <v/>
      </c>
    </row>
    <row r="11" customFormat="false" ht="30" hidden="false" customHeight="true" outlineLevel="0" collapsed="false">
      <c r="A11" s="12" t="n">
        <v>8</v>
      </c>
      <c r="B11" s="13" t="s">
        <v>55</v>
      </c>
      <c r="C11" s="13" t="s">
        <v>37</v>
      </c>
      <c r="D11" s="14" t="n">
        <v>134</v>
      </c>
      <c r="E11" s="14" t="n">
        <v>134</v>
      </c>
      <c r="F11" s="14" t="n">
        <v>0</v>
      </c>
      <c r="G11" s="12" t="s">
        <v>56</v>
      </c>
      <c r="H11" s="13" t="s">
        <v>33</v>
      </c>
      <c r="I11" s="15" t="n">
        <v>37500</v>
      </c>
      <c r="J11" s="15" t="n">
        <f aca="false">I11/D11</f>
        <v>279.850746268657</v>
      </c>
      <c r="K11" s="16" t="n">
        <f aca="false">J11/12</f>
        <v>23.3208955223881</v>
      </c>
      <c r="L11" s="15" t="n">
        <f aca="false">IFERROR(I11/(E11+0.25*F11+0.35*0),"н/д")</f>
        <v>279.850746268657</v>
      </c>
      <c r="M11" s="17" t="n">
        <f aca="false">IFERROR(J11/AVERAGE($R$4:$R$27)-1,"")</f>
        <v>-0.240282328698422</v>
      </c>
      <c r="N11" s="17" t="n">
        <f aca="false">IFERROR(J11/MEDIAN($R$4:$R$27)-1,"")</f>
        <v>-0.111886396214016</v>
      </c>
      <c r="O11" s="18" t="n">
        <v>40</v>
      </c>
      <c r="P11" s="13" t="s">
        <v>23</v>
      </c>
      <c r="Q11" s="19" t="s">
        <v>57</v>
      </c>
      <c r="R11" s="20" t="n">
        <f aca="false">J11</f>
        <v>279.850746268657</v>
      </c>
      <c r="S11" s="20" t="n">
        <f aca="false">IF(AND(ISNUMBER($R11),$D11&gt;=100,$D11&lt;=210),$J11,"")</f>
        <v>279.850746268657</v>
      </c>
    </row>
    <row r="12" customFormat="false" ht="30" hidden="false" customHeight="true" outlineLevel="0" collapsed="false">
      <c r="A12" s="12" t="n">
        <v>9</v>
      </c>
      <c r="B12" s="13" t="s">
        <v>58</v>
      </c>
      <c r="C12" s="13" t="s">
        <v>37</v>
      </c>
      <c r="D12" s="14" t="n">
        <v>335</v>
      </c>
      <c r="E12" s="14" t="n">
        <v>265</v>
      </c>
      <c r="F12" s="14" t="n">
        <v>70</v>
      </c>
      <c r="G12" s="12" t="s">
        <v>32</v>
      </c>
      <c r="H12" s="13" t="s">
        <v>59</v>
      </c>
      <c r="I12" s="15" t="n">
        <v>99500</v>
      </c>
      <c r="J12" s="15" t="n">
        <f aca="false">I12/D12</f>
        <v>297.014925373134</v>
      </c>
      <c r="K12" s="16" t="n">
        <f aca="false">J12/12</f>
        <v>24.7512437810945</v>
      </c>
      <c r="L12" s="15" t="n">
        <f aca="false">IFERROR(I12/(E12+0.25*F12+0.35*0),"н/д")</f>
        <v>352.212389380531</v>
      </c>
      <c r="M12" s="17" t="n">
        <f aca="false">IFERROR(J12/AVERAGE($R$4:$R$27)-1,"")</f>
        <v>-0.193686311525259</v>
      </c>
      <c r="N12" s="17" t="n">
        <f aca="false">IFERROR(J12/MEDIAN($R$4:$R$27)-1,"")</f>
        <v>-0.0574154285151425</v>
      </c>
      <c r="O12" s="18" t="n">
        <v>45</v>
      </c>
      <c r="P12" s="13" t="s">
        <v>45</v>
      </c>
      <c r="Q12" s="19" t="s">
        <v>60</v>
      </c>
      <c r="R12" s="20" t="n">
        <f aca="false">J12</f>
        <v>297.014925373134</v>
      </c>
      <c r="S12" s="0" t="str">
        <f aca="false">IF(AND(ISNUMBER($R12),$D12&gt;=100,$D12&lt;=210),$J12,"")</f>
        <v/>
      </c>
    </row>
    <row r="13" customFormat="false" ht="30" hidden="false" customHeight="true" outlineLevel="0" collapsed="false">
      <c r="A13" s="12" t="n">
        <v>10</v>
      </c>
      <c r="B13" s="13" t="s">
        <v>61</v>
      </c>
      <c r="C13" s="13" t="s">
        <v>62</v>
      </c>
      <c r="D13" s="14" t="n">
        <v>491</v>
      </c>
      <c r="E13" s="14" t="n">
        <v>491</v>
      </c>
      <c r="F13" s="14" t="n">
        <v>0</v>
      </c>
      <c r="G13" s="12" t="s">
        <v>63</v>
      </c>
      <c r="H13" s="13" t="s">
        <v>64</v>
      </c>
      <c r="I13" s="15" t="n">
        <v>150000</v>
      </c>
      <c r="J13" s="15" t="n">
        <f aca="false">I13/D13</f>
        <v>305.498981670061</v>
      </c>
      <c r="K13" s="16" t="n">
        <f aca="false">J13/12</f>
        <v>25.4582484725051</v>
      </c>
      <c r="L13" s="15" t="n">
        <f aca="false">IFERROR(I13/(E13+0.25*F13+0.35*0),"н/д")</f>
        <v>305.498981670061</v>
      </c>
      <c r="M13" s="17" t="n">
        <f aca="false">IFERROR(J13/AVERAGE($R$4:$R$27)-1,"")</f>
        <v>-0.170654436216607</v>
      </c>
      <c r="N13" s="17" t="n">
        <f aca="false">IFERROR(J13/MEDIAN($R$4:$R$27)-1,"")</f>
        <v>-0.0304910557448322</v>
      </c>
      <c r="O13" s="18" t="n">
        <v>80</v>
      </c>
      <c r="P13" s="13" t="s">
        <v>65</v>
      </c>
      <c r="Q13" s="19" t="s">
        <v>66</v>
      </c>
      <c r="R13" s="20" t="n">
        <f aca="false">J13</f>
        <v>305.498981670061</v>
      </c>
      <c r="S13" s="0" t="str">
        <f aca="false">IF(AND(ISNUMBER($R13),$D13&gt;=100,$D13&lt;=210),$J13,"")</f>
        <v/>
      </c>
    </row>
    <row r="14" customFormat="false" ht="30" hidden="false" customHeight="true" outlineLevel="0" collapsed="false">
      <c r="A14" s="12" t="n">
        <v>11</v>
      </c>
      <c r="B14" s="13" t="s">
        <v>67</v>
      </c>
      <c r="C14" s="13" t="s">
        <v>62</v>
      </c>
      <c r="D14" s="14" t="n">
        <v>401</v>
      </c>
      <c r="E14" s="14" t="n">
        <v>215</v>
      </c>
      <c r="F14" s="14" t="n">
        <v>186</v>
      </c>
      <c r="G14" s="12" t="s">
        <v>68</v>
      </c>
      <c r="H14" s="13" t="s">
        <v>69</v>
      </c>
      <c r="I14" s="15" t="n">
        <v>125000</v>
      </c>
      <c r="J14" s="15" t="n">
        <f aca="false">I14/D14</f>
        <v>311.720698254364</v>
      </c>
      <c r="K14" s="16" t="n">
        <f aca="false">J14/12</f>
        <v>25.9767248545303</v>
      </c>
      <c r="L14" s="15" t="n">
        <f aca="false">IFERROR(I14/(E14+0.25*F14+0.35*0),"н/д")</f>
        <v>478.011472275335</v>
      </c>
      <c r="M14" s="17" t="n">
        <f aca="false">IFERROR(J14/AVERAGE($R$4:$R$27)-1,"")</f>
        <v>-0.153764189905142</v>
      </c>
      <c r="N14" s="17" t="n">
        <f aca="false">IFERROR(J14/MEDIAN($R$4:$R$27)-1,"")</f>
        <v>-0.0107462767471168</v>
      </c>
      <c r="O14" s="18" t="n">
        <v>70</v>
      </c>
      <c r="P14" s="13" t="s">
        <v>70</v>
      </c>
      <c r="Q14" s="19" t="s">
        <v>71</v>
      </c>
      <c r="R14" s="20" t="n">
        <f aca="false">J14</f>
        <v>311.720698254364</v>
      </c>
      <c r="S14" s="0" t="str">
        <f aca="false">IF(AND(ISNUMBER($R14),$D14&gt;=100,$D14&lt;=210),$J14,"")</f>
        <v/>
      </c>
    </row>
    <row r="15" customFormat="false" ht="30" hidden="false" customHeight="true" outlineLevel="0" collapsed="false">
      <c r="A15" s="4" t="n">
        <v>12</v>
      </c>
      <c r="B15" s="5" t="s">
        <v>72</v>
      </c>
      <c r="C15" s="5" t="s">
        <v>37</v>
      </c>
      <c r="D15" s="6" t="n">
        <v>401</v>
      </c>
      <c r="E15" s="6" t="n">
        <v>186</v>
      </c>
      <c r="F15" s="6" t="n">
        <v>215</v>
      </c>
      <c r="G15" s="4" t="s">
        <v>68</v>
      </c>
      <c r="H15" s="5" t="s">
        <v>73</v>
      </c>
      <c r="I15" s="7" t="n">
        <v>125000</v>
      </c>
      <c r="J15" s="7" t="n">
        <f aca="false">I15/D15</f>
        <v>311.720698254364</v>
      </c>
      <c r="K15" s="8" t="n">
        <f aca="false">J15/12</f>
        <v>25.9767248545303</v>
      </c>
      <c r="L15" s="7" t="n">
        <f aca="false">IFERROR(I15/(E15+0.25*F15+0.35*0),"н/д")</f>
        <v>521.376433785193</v>
      </c>
      <c r="M15" s="9" t="n">
        <f aca="false">IFERROR(J15/AVERAGE($R$4:$R$27)-1,"")</f>
        <v>-0.153764189905142</v>
      </c>
      <c r="N15" s="9" t="n">
        <f aca="false">IFERROR(J15/MEDIAN($R$4:$R$27)-1,"")</f>
        <v>-0.0107462767471168</v>
      </c>
      <c r="O15" s="10" t="n">
        <v>45</v>
      </c>
      <c r="P15" s="5" t="s">
        <v>23</v>
      </c>
      <c r="Q15" s="11" t="s">
        <v>74</v>
      </c>
      <c r="S15" s="0" t="str">
        <f aca="false">IF(AND(ISNUMBER($R15),$D15&gt;=100,$D15&lt;=210),$J15,"")</f>
        <v/>
      </c>
    </row>
    <row r="16" customFormat="false" ht="30" hidden="false" customHeight="true" outlineLevel="0" collapsed="false">
      <c r="A16" s="12" t="n">
        <v>13</v>
      </c>
      <c r="B16" s="13" t="s">
        <v>75</v>
      </c>
      <c r="C16" s="13" t="s">
        <v>37</v>
      </c>
      <c r="D16" s="14" t="n">
        <v>365</v>
      </c>
      <c r="E16" s="14" t="n">
        <v>290</v>
      </c>
      <c r="F16" s="14" t="n">
        <v>75</v>
      </c>
      <c r="G16" s="12" t="s">
        <v>76</v>
      </c>
      <c r="H16" s="13" t="s">
        <v>33</v>
      </c>
      <c r="I16" s="15" t="n">
        <v>116250</v>
      </c>
      <c r="J16" s="15" t="n">
        <f aca="false">I16/D16</f>
        <v>318.493150684932</v>
      </c>
      <c r="K16" s="16" t="n">
        <f aca="false">J16/12</f>
        <v>26.541095890411</v>
      </c>
      <c r="L16" s="15" t="n">
        <f aca="false">IFERROR(I16/(E16+0.25*F16+0.35*0),"н/д")</f>
        <v>376.518218623482</v>
      </c>
      <c r="M16" s="17" t="n">
        <f aca="false">IFERROR(J16/AVERAGE($R$4:$R$27)-1,"")</f>
        <v>-0.135378847510478</v>
      </c>
      <c r="N16" s="17" t="n">
        <f aca="false">IFERROR(J16/MEDIAN($R$4:$R$27)-1,"")</f>
        <v>0.0107462767471169</v>
      </c>
      <c r="O16" s="18" t="n">
        <v>65</v>
      </c>
      <c r="P16" s="13" t="s">
        <v>70</v>
      </c>
      <c r="Q16" s="19" t="s">
        <v>77</v>
      </c>
      <c r="R16" s="20" t="n">
        <f aca="false">J16</f>
        <v>318.493150684932</v>
      </c>
      <c r="S16" s="0" t="str">
        <f aca="false">IF(AND(ISNUMBER($R16),$D16&gt;=100,$D16&lt;=210),$J16,"")</f>
        <v/>
      </c>
    </row>
    <row r="17" customFormat="false" ht="30" hidden="false" customHeight="true" outlineLevel="0" collapsed="false">
      <c r="A17" s="12" t="n">
        <v>14</v>
      </c>
      <c r="B17" s="13" t="s">
        <v>78</v>
      </c>
      <c r="C17" s="13" t="s">
        <v>37</v>
      </c>
      <c r="D17" s="14" t="n">
        <v>182.51</v>
      </c>
      <c r="E17" s="14" t="n">
        <v>152.76</v>
      </c>
      <c r="F17" s="14" t="n">
        <v>29.75</v>
      </c>
      <c r="G17" s="12" t="s">
        <v>43</v>
      </c>
      <c r="H17" s="13" t="s">
        <v>33</v>
      </c>
      <c r="I17" s="15" t="n">
        <v>59900</v>
      </c>
      <c r="J17" s="15" t="n">
        <f aca="false">I17/D17</f>
        <v>328.201194455098</v>
      </c>
      <c r="K17" s="16" t="n">
        <f aca="false">J17/12</f>
        <v>27.3500995379249</v>
      </c>
      <c r="L17" s="15" t="n">
        <f aca="false">IFERROR(I17/(E17+0.25*F17+0.35*0),"н/д")</f>
        <v>373.913450584435</v>
      </c>
      <c r="M17" s="17" t="n">
        <f aca="false">IFERROR(J17/AVERAGE($R$4:$R$27)-1,"")</f>
        <v>-0.109024183446497</v>
      </c>
      <c r="N17" s="17" t="n">
        <f aca="false">IFERROR(J17/MEDIAN($R$4:$R$27)-1,"")</f>
        <v>0.0415550055191245</v>
      </c>
      <c r="O17" s="18" t="n">
        <v>60</v>
      </c>
      <c r="P17" s="13" t="s">
        <v>45</v>
      </c>
      <c r="Q17" s="19" t="s">
        <v>79</v>
      </c>
      <c r="R17" s="20" t="n">
        <f aca="false">J17</f>
        <v>328.201194455098</v>
      </c>
      <c r="S17" s="20" t="n">
        <f aca="false">IF(AND(ISNUMBER($R17),$D17&gt;=100,$D17&lt;=210),$J17,"")</f>
        <v>328.201194455098</v>
      </c>
    </row>
    <row r="18" customFormat="false" ht="30" hidden="false" customHeight="true" outlineLevel="0" collapsed="false">
      <c r="A18" s="12" t="n">
        <v>15</v>
      </c>
      <c r="B18" s="13" t="s">
        <v>80</v>
      </c>
      <c r="C18" s="13" t="s">
        <v>37</v>
      </c>
      <c r="D18" s="14" t="n">
        <v>83</v>
      </c>
      <c r="E18" s="14" t="n">
        <v>37</v>
      </c>
      <c r="F18" s="14" t="n">
        <v>46</v>
      </c>
      <c r="G18" s="12" t="s">
        <v>32</v>
      </c>
      <c r="H18" s="13" t="s">
        <v>81</v>
      </c>
      <c r="I18" s="15" t="n">
        <v>29700</v>
      </c>
      <c r="J18" s="15" t="n">
        <f aca="false">I18/D18</f>
        <v>357.831325301205</v>
      </c>
      <c r="K18" s="16" t="n">
        <f aca="false">J18/12</f>
        <v>29.8192771084337</v>
      </c>
      <c r="L18" s="15" t="n">
        <f aca="false">IFERROR(I18/(E18+0.25*F18+0.35*0),"н/д")</f>
        <v>612.371134020619</v>
      </c>
      <c r="M18" s="17" t="n">
        <f aca="false">IFERROR(J18/AVERAGE($R$4:$R$27)-1,"")</f>
        <v>-0.0285865419289897</v>
      </c>
      <c r="N18" s="17" t="n">
        <f aca="false">IFERROR(J18/MEDIAN($R$4:$R$27)-1,"")</f>
        <v>0.135586994489143</v>
      </c>
      <c r="O18" s="18" t="n">
        <v>50</v>
      </c>
      <c r="P18" s="13" t="s">
        <v>45</v>
      </c>
      <c r="Q18" s="19" t="s">
        <v>82</v>
      </c>
      <c r="R18" s="20" t="n">
        <f aca="false">J18</f>
        <v>357.831325301205</v>
      </c>
      <c r="S18" s="0" t="str">
        <f aca="false">IF(AND(ISNUMBER($R18),$D18&gt;=100,$D18&lt;=210),$J18,"")</f>
        <v/>
      </c>
    </row>
    <row r="19" customFormat="false" ht="30" hidden="false" customHeight="true" outlineLevel="0" collapsed="false">
      <c r="A19" s="12" t="n">
        <v>16</v>
      </c>
      <c r="B19" s="13" t="s">
        <v>83</v>
      </c>
      <c r="C19" s="13" t="s">
        <v>37</v>
      </c>
      <c r="D19" s="14" t="n">
        <v>109</v>
      </c>
      <c r="E19" s="14" t="n">
        <v>109</v>
      </c>
      <c r="F19" s="14" t="n">
        <v>0</v>
      </c>
      <c r="G19" s="12" t="s">
        <v>63</v>
      </c>
      <c r="H19" s="13" t="s">
        <v>33</v>
      </c>
      <c r="I19" s="15" t="n">
        <v>45600</v>
      </c>
      <c r="J19" s="15" t="n">
        <f aca="false">I19/D19</f>
        <v>418.348623853211</v>
      </c>
      <c r="K19" s="16" t="n">
        <f aca="false">J19/12</f>
        <v>34.8623853211009</v>
      </c>
      <c r="L19" s="15" t="n">
        <f aca="false">IFERROR(I19/(E19+0.25*F19+0.35*0),"н/д")</f>
        <v>418.348623853211</v>
      </c>
      <c r="M19" s="17" t="n">
        <f aca="false">IFERROR(J19/AVERAGE($R$4:$R$27)-1,"")</f>
        <v>0.13570124984004</v>
      </c>
      <c r="N19" s="17" t="n">
        <f aca="false">IFERROR(J19/MEDIAN($R$4:$R$27)-1,"")</f>
        <v>0.327640211516545</v>
      </c>
      <c r="O19" s="22" t="n">
        <v>105</v>
      </c>
      <c r="P19" s="13" t="s">
        <v>39</v>
      </c>
      <c r="Q19" s="19" t="s">
        <v>84</v>
      </c>
      <c r="R19" s="20" t="n">
        <f aca="false">J19</f>
        <v>418.348623853211</v>
      </c>
      <c r="S19" s="20" t="n">
        <f aca="false">IF(AND(ISNUMBER($R19),$D19&gt;=100,$D19&lt;=210),$J19,"")</f>
        <v>418.348623853211</v>
      </c>
    </row>
    <row r="20" customFormat="false" ht="30" hidden="false" customHeight="true" outlineLevel="0" collapsed="false">
      <c r="A20" s="12" t="n">
        <v>17</v>
      </c>
      <c r="B20" s="13" t="s">
        <v>85</v>
      </c>
      <c r="C20" s="13" t="s">
        <v>86</v>
      </c>
      <c r="D20" s="14" t="n">
        <v>147</v>
      </c>
      <c r="E20" s="14" t="n">
        <v>129</v>
      </c>
      <c r="F20" s="14" t="n">
        <v>0</v>
      </c>
      <c r="G20" s="12" t="s">
        <v>87</v>
      </c>
      <c r="H20" s="13" t="s">
        <v>88</v>
      </c>
      <c r="I20" s="15" t="n">
        <v>63504</v>
      </c>
      <c r="J20" s="15" t="n">
        <f aca="false">I20/D20</f>
        <v>432</v>
      </c>
      <c r="K20" s="16" t="n">
        <f aca="false">J20/12</f>
        <v>36</v>
      </c>
      <c r="L20" s="15" t="n">
        <f aca="false">IFERROR(I20/(E20+0.25*F20+0.35*18),"н/д")</f>
        <v>469.356984478936</v>
      </c>
      <c r="M20" s="17" t="n">
        <f aca="false">IFERROR(J20/AVERAGE($R$4:$R$27)-1,"")</f>
        <v>0.17276097483482</v>
      </c>
      <c r="N20" s="17" t="n">
        <f aca="false">IFERROR(J20/MEDIAN($R$4:$R$27)-1,"")</f>
        <v>0.370963207892348</v>
      </c>
      <c r="O20" s="18" t="n">
        <v>80</v>
      </c>
      <c r="P20" s="13" t="s">
        <v>89</v>
      </c>
      <c r="Q20" s="19" t="s">
        <v>90</v>
      </c>
      <c r="R20" s="20" t="n">
        <f aca="false">J20</f>
        <v>432</v>
      </c>
      <c r="S20" s="20" t="n">
        <f aca="false">IF(AND(ISNUMBER($R20),$D20&gt;=100,$D20&lt;=210),$J20,"")</f>
        <v>432</v>
      </c>
    </row>
    <row r="21" customFormat="false" ht="30" hidden="false" customHeight="true" outlineLevel="0" collapsed="false">
      <c r="A21" s="23" t="s">
        <v>91</v>
      </c>
      <c r="B21" s="24" t="s">
        <v>92</v>
      </c>
      <c r="C21" s="25" t="s">
        <v>93</v>
      </c>
      <c r="D21" s="26" t="n">
        <v>161.1</v>
      </c>
      <c r="E21" s="26" t="n">
        <v>115</v>
      </c>
      <c r="F21" s="26" t="n">
        <v>46.1</v>
      </c>
      <c r="G21" s="23" t="s">
        <v>52</v>
      </c>
      <c r="H21" s="25" t="s">
        <v>94</v>
      </c>
      <c r="I21" s="27" t="n">
        <v>70000</v>
      </c>
      <c r="J21" s="27" t="n">
        <f aca="false">I21/D21</f>
        <v>434.512725015518</v>
      </c>
      <c r="K21" s="28" t="n">
        <f aca="false">J21/12</f>
        <v>36.2093937512932</v>
      </c>
      <c r="L21" s="27" t="n">
        <f aca="false">IFERROR(I21/(E21+0.25*F21+0.35*0),"н/д")</f>
        <v>553.250345781466</v>
      </c>
      <c r="M21" s="29" t="n">
        <f aca="false">IFERROR(J21/AVERAGE($R$4:$R$27)-1,"")</f>
        <v>0.179582330942901</v>
      </c>
      <c r="N21" s="29" t="n">
        <f aca="false">IFERROR(J21/MEDIAN($R$4:$R$27)-1,"")</f>
        <v>0.378937405919723</v>
      </c>
      <c r="O21" s="30" t="n">
        <v>100</v>
      </c>
      <c r="P21" s="25" t="s">
        <v>95</v>
      </c>
      <c r="Q21" s="31" t="s">
        <v>96</v>
      </c>
      <c r="S21" s="0" t="str">
        <f aca="false">IF(AND(ISNUMBER($R21),$D21&gt;=100,$D21&lt;=210),$J21,"")</f>
        <v/>
      </c>
    </row>
    <row r="22" customFormat="false" ht="30" hidden="false" customHeight="true" outlineLevel="0" collapsed="false">
      <c r="A22" s="12" t="n">
        <v>19</v>
      </c>
      <c r="B22" s="13" t="s">
        <v>97</v>
      </c>
      <c r="C22" s="13" t="s">
        <v>98</v>
      </c>
      <c r="D22" s="14" t="n">
        <v>140</v>
      </c>
      <c r="E22" s="14" t="n">
        <v>120</v>
      </c>
      <c r="F22" s="14" t="n">
        <v>20</v>
      </c>
      <c r="G22" s="12" t="s">
        <v>99</v>
      </c>
      <c r="H22" s="13" t="s">
        <v>100</v>
      </c>
      <c r="I22" s="15" t="n">
        <v>69000</v>
      </c>
      <c r="J22" s="15" t="n">
        <f aca="false">I22/D22</f>
        <v>492.857142857143</v>
      </c>
      <c r="K22" s="16" t="n">
        <f aca="false">J22/12</f>
        <v>41.0714285714286</v>
      </c>
      <c r="L22" s="15" t="n">
        <f aca="false">IFERROR(I22/(E22+0.25*F22+0.35*0),"н/д")</f>
        <v>552</v>
      </c>
      <c r="M22" s="17" t="n">
        <f aca="false">IFERROR(J22/AVERAGE($R$4:$R$27)-1,"")</f>
        <v>0.337971350257979</v>
      </c>
      <c r="N22" s="17" t="n">
        <f aca="false">IFERROR(J22/MEDIAN($R$4:$R$27)-1,"")</f>
        <v>0.564094929639087</v>
      </c>
      <c r="O22" s="18" t="n">
        <v>75</v>
      </c>
      <c r="P22" s="13" t="s">
        <v>89</v>
      </c>
      <c r="Q22" s="19" t="s">
        <v>101</v>
      </c>
      <c r="R22" s="20" t="n">
        <f aca="false">J22</f>
        <v>492.857142857143</v>
      </c>
      <c r="S22" s="20" t="n">
        <f aca="false">IF(AND(ISNUMBER($R22),$D22&gt;=100,$D22&lt;=210),$J22,"")</f>
        <v>492.857142857143</v>
      </c>
    </row>
    <row r="23" customFormat="false" ht="30" hidden="false" customHeight="true" outlineLevel="0" collapsed="false">
      <c r="A23" s="12" t="n">
        <v>20</v>
      </c>
      <c r="B23" s="13" t="s">
        <v>102</v>
      </c>
      <c r="C23" s="13" t="s">
        <v>31</v>
      </c>
      <c r="D23" s="14" t="n">
        <v>395</v>
      </c>
      <c r="E23" s="14" t="n">
        <v>200</v>
      </c>
      <c r="F23" s="14" t="n">
        <v>0</v>
      </c>
      <c r="G23" s="12" t="s">
        <v>52</v>
      </c>
      <c r="H23" s="13" t="s">
        <v>28</v>
      </c>
      <c r="I23" s="15" t="n">
        <v>205000</v>
      </c>
      <c r="J23" s="15" t="n">
        <f aca="false">I23/D23</f>
        <v>518.987341772152</v>
      </c>
      <c r="K23" s="16" t="n">
        <f aca="false">J23/12</f>
        <v>43.2489451476793</v>
      </c>
      <c r="L23" s="15" t="n">
        <f aca="false">IFERROR(I23/(E23+0.25*F23+0.35*195),"н/д")</f>
        <v>764.212488350419</v>
      </c>
      <c r="M23" s="17" t="n">
        <f aca="false">IFERROR(J23/AVERAGE($R$4:$R$27)-1,"")</f>
        <v>0.408907640888057</v>
      </c>
      <c r="N23" s="17" t="n">
        <f aca="false">IFERROR(J23/MEDIAN($R$4:$R$27)-1,"")</f>
        <v>0.647019793822851</v>
      </c>
      <c r="O23" s="21" t="n">
        <v>248</v>
      </c>
      <c r="P23" s="13" t="s">
        <v>34</v>
      </c>
      <c r="Q23" s="19" t="s">
        <v>103</v>
      </c>
      <c r="R23" s="20" t="n">
        <f aca="false">J23</f>
        <v>518.987341772152</v>
      </c>
      <c r="S23" s="0" t="str">
        <f aca="false">IF(AND(ISNUMBER($R23),$D23&gt;=100,$D23&lt;=210),$J23,"")</f>
        <v/>
      </c>
    </row>
    <row r="24" customFormat="false" ht="30" hidden="false" customHeight="true" outlineLevel="0" collapsed="false">
      <c r="A24" s="12" t="n">
        <v>21</v>
      </c>
      <c r="B24" s="13" t="s">
        <v>104</v>
      </c>
      <c r="C24" s="13" t="s">
        <v>37</v>
      </c>
      <c r="D24" s="14" t="n">
        <v>181</v>
      </c>
      <c r="E24" s="14" t="n">
        <v>181</v>
      </c>
      <c r="F24" s="14" t="n">
        <v>0</v>
      </c>
      <c r="G24" s="12" t="s">
        <v>43</v>
      </c>
      <c r="H24" s="13" t="s">
        <v>33</v>
      </c>
      <c r="I24" s="15" t="n">
        <v>95000</v>
      </c>
      <c r="J24" s="15" t="n">
        <f aca="false">I24/D24</f>
        <v>524.861878453039</v>
      </c>
      <c r="K24" s="16" t="n">
        <f aca="false">J24/12</f>
        <v>43.7384898710866</v>
      </c>
      <c r="L24" s="15" t="n">
        <f aca="false">IFERROR(I24/(E24+0.25*F24+0.35*0),"н/д")</f>
        <v>524.861878453039</v>
      </c>
      <c r="M24" s="17" t="n">
        <f aca="false">IFERROR(J24/AVERAGE($R$4:$R$27)-1,"")</f>
        <v>0.424855389417177</v>
      </c>
      <c r="N24" s="17" t="n">
        <f aca="false">IFERROR(J24/MEDIAN($R$4:$R$27)-1,"")</f>
        <v>0.665662788389772</v>
      </c>
      <c r="O24" s="18" t="n">
        <v>85</v>
      </c>
      <c r="P24" s="13" t="s">
        <v>65</v>
      </c>
      <c r="Q24" s="19" t="s">
        <v>105</v>
      </c>
      <c r="R24" s="20" t="n">
        <f aca="false">J24</f>
        <v>524.861878453039</v>
      </c>
      <c r="S24" s="20" t="n">
        <f aca="false">IF(AND(ISNUMBER($R24),$D24&gt;=100,$D24&lt;=210),$J24,"")</f>
        <v>524.861878453039</v>
      </c>
    </row>
    <row r="25" customFormat="false" ht="30" hidden="false" customHeight="true" outlineLevel="0" collapsed="false">
      <c r="A25" s="4" t="n">
        <v>22</v>
      </c>
      <c r="B25" s="5" t="s">
        <v>106</v>
      </c>
      <c r="C25" s="5" t="s">
        <v>107</v>
      </c>
      <c r="D25" s="6" t="n">
        <v>18</v>
      </c>
      <c r="E25" s="6" t="n">
        <v>18</v>
      </c>
      <c r="F25" s="6" t="n">
        <v>0</v>
      </c>
      <c r="G25" s="4" t="s">
        <v>38</v>
      </c>
      <c r="H25" s="5" t="s">
        <v>108</v>
      </c>
      <c r="I25" s="7" t="n">
        <v>10500</v>
      </c>
      <c r="J25" s="7" t="n">
        <f aca="false">I25/D25</f>
        <v>583.333333333333</v>
      </c>
      <c r="K25" s="8" t="n">
        <f aca="false">J25/12</f>
        <v>48.6111111111111</v>
      </c>
      <c r="L25" s="7" t="n">
        <f aca="false">IFERROR(I25/(E25+0.25*F25+0.35*0),"н/д")</f>
        <v>583.333333333333</v>
      </c>
      <c r="M25" s="9" t="n">
        <f aca="false">IFERROR(J25/AVERAGE($R$4:$R$27)-1,"")</f>
        <v>0.583589279290845</v>
      </c>
      <c r="N25" s="9" t="n">
        <f aca="false">IFERROR(J25/MEDIAN($R$4:$R$27)-1,"")</f>
        <v>0.851223467447229</v>
      </c>
      <c r="O25" s="10" t="n">
        <v>70</v>
      </c>
      <c r="P25" s="5" t="s">
        <v>45</v>
      </c>
      <c r="Q25" s="11" t="s">
        <v>109</v>
      </c>
      <c r="S25" s="0" t="str">
        <f aca="false">IF(AND(ISNUMBER($R25),$D25&gt;=100,$D25&lt;=210),$J25,"")</f>
        <v/>
      </c>
    </row>
    <row r="26" customFormat="false" ht="30" hidden="false" customHeight="true" outlineLevel="0" collapsed="false">
      <c r="A26" s="12" t="n">
        <v>23</v>
      </c>
      <c r="B26" s="13" t="s">
        <v>110</v>
      </c>
      <c r="C26" s="13" t="s">
        <v>37</v>
      </c>
      <c r="D26" s="14" t="n">
        <v>265</v>
      </c>
      <c r="E26" s="14" t="n">
        <v>195</v>
      </c>
      <c r="F26" s="14" t="n">
        <v>70</v>
      </c>
      <c r="G26" s="12" t="s">
        <v>111</v>
      </c>
      <c r="H26" s="13" t="s">
        <v>112</v>
      </c>
      <c r="I26" s="15" t="n">
        <v>185000</v>
      </c>
      <c r="J26" s="15" t="n">
        <f aca="false">I26/D26</f>
        <v>698.11320754717</v>
      </c>
      <c r="K26" s="16" t="n">
        <f aca="false">J26/12</f>
        <v>58.1761006289308</v>
      </c>
      <c r="L26" s="15" t="n">
        <f aca="false">IFERROR(I26/(E26+0.25*F26+0.35*0),"н/д")</f>
        <v>870.588235294118</v>
      </c>
      <c r="M26" s="17" t="n">
        <f aca="false">IFERROR(J26/AVERAGE($R$4:$R$27)-1,"")</f>
        <v>0.89518501349093</v>
      </c>
      <c r="N26" s="17" t="n">
        <f aca="false">IFERROR(J26/MEDIAN($R$4:$R$27)-1,"")</f>
        <v>1.21548037613631</v>
      </c>
      <c r="O26" s="32" t="n">
        <v>115</v>
      </c>
      <c r="P26" s="13" t="s">
        <v>113</v>
      </c>
      <c r="Q26" s="19" t="s">
        <v>114</v>
      </c>
      <c r="R26" s="20" t="n">
        <f aca="false">J26</f>
        <v>698.11320754717</v>
      </c>
      <c r="S26" s="0" t="str">
        <f aca="false">IF(AND(ISNUMBER($R26),$D26&gt;=100,$D26&lt;=210),$J26,"")</f>
        <v/>
      </c>
    </row>
    <row r="27" customFormat="false" ht="30" hidden="false" customHeight="true" outlineLevel="0" collapsed="false">
      <c r="A27" s="12" t="n">
        <v>24</v>
      </c>
      <c r="B27" s="13" t="s">
        <v>115</v>
      </c>
      <c r="C27" s="13" t="s">
        <v>37</v>
      </c>
      <c r="D27" s="14" t="n">
        <v>160</v>
      </c>
      <c r="E27" s="14" t="n">
        <v>80</v>
      </c>
      <c r="F27" s="14" t="n">
        <v>80</v>
      </c>
      <c r="G27" s="12" t="s">
        <v>27</v>
      </c>
      <c r="H27" s="13" t="s">
        <v>33</v>
      </c>
      <c r="I27" s="15" t="n">
        <v>130000</v>
      </c>
      <c r="J27" s="15" t="n">
        <f aca="false">I27/D27</f>
        <v>812.5</v>
      </c>
      <c r="K27" s="16" t="n">
        <f aca="false">J27/12</f>
        <v>67.7083333333333</v>
      </c>
      <c r="L27" s="15" t="n">
        <f aca="false">IFERROR(I27/(E27+0.25*F27+0.35*0),"н/д")</f>
        <v>1300</v>
      </c>
      <c r="M27" s="17" t="n">
        <f aca="false">IFERROR(J27/AVERAGE($R$4:$R$27)-1,"")</f>
        <v>1.20571363901225</v>
      </c>
      <c r="N27" s="17" t="n">
        <f aca="false">IFERROR(J27/MEDIAN($R$4:$R$27)-1,"")</f>
        <v>1.57848982965864</v>
      </c>
      <c r="O27" s="32" t="n">
        <v>115</v>
      </c>
      <c r="P27" s="13" t="s">
        <v>113</v>
      </c>
      <c r="Q27" s="19" t="s">
        <v>116</v>
      </c>
      <c r="R27" s="20" t="n">
        <f aca="false">J27</f>
        <v>812.5</v>
      </c>
      <c r="S27" s="20" t="n">
        <f aca="false">IF(AND(ISNUMBER($R27),$D27&gt;=100,$D27&lt;=210),$J27,"")</f>
        <v>812.5</v>
      </c>
    </row>
    <row r="28" customFormat="false" ht="15" hidden="false" customHeight="false" outlineLevel="0" collapsed="false">
      <c r="A28" s="33" t="s">
        <v>117</v>
      </c>
      <c r="B28" s="33"/>
      <c r="C28" s="33"/>
      <c r="D28" s="33"/>
      <c r="E28" s="33"/>
      <c r="F28" s="33"/>
      <c r="G28" s="33"/>
      <c r="H28" s="33"/>
      <c r="I28" s="34" t="n">
        <f aca="false">SUMPRODUCT(ISNUMBER($R$4:$R$27)*$I$4:$I$27)</f>
        <v>1935114</v>
      </c>
      <c r="J28" s="34" t="n">
        <f aca="false">AVERAGE($R$4:$R$27)</f>
        <v>368.361506965088</v>
      </c>
      <c r="K28" s="35" t="n">
        <f aca="false">J28/12</f>
        <v>30.6967922470907</v>
      </c>
      <c r="L28" s="36"/>
      <c r="M28" s="36"/>
      <c r="N28" s="36"/>
      <c r="O28" s="37" t="n">
        <f aca="false">AVERAGE($O$4:$O$27)</f>
        <v>96.7916666666667</v>
      </c>
      <c r="P28" s="36"/>
      <c r="Q28" s="36" t="s">
        <v>118</v>
      </c>
    </row>
    <row r="29" customFormat="false" ht="15" hidden="false" customHeight="false" outlineLevel="0" collapsed="false">
      <c r="A29" s="38" t="s">
        <v>119</v>
      </c>
      <c r="B29" s="38"/>
      <c r="C29" s="38"/>
      <c r="D29" s="38"/>
      <c r="E29" s="38"/>
      <c r="F29" s="38"/>
      <c r="G29" s="38"/>
      <c r="H29" s="38"/>
      <c r="I29" s="39"/>
      <c r="J29" s="40" t="n">
        <f aca="false">MEDIAN($R$4:$R$27)</f>
        <v>315.106924469648</v>
      </c>
      <c r="K29" s="41" t="n">
        <f aca="false">J29/12</f>
        <v>26.2589103724707</v>
      </c>
      <c r="L29" s="39"/>
      <c r="M29" s="39"/>
      <c r="N29" s="39"/>
      <c r="O29" s="39"/>
      <c r="P29" s="39"/>
      <c r="Q29" s="39"/>
    </row>
    <row r="30" customFormat="false" ht="15" hidden="false" customHeight="false" outlineLevel="0" collapsed="false">
      <c r="A30" s="42" t="s">
        <v>120</v>
      </c>
      <c r="B30" s="42"/>
      <c r="C30" s="42"/>
      <c r="D30" s="42"/>
      <c r="E30" s="42"/>
      <c r="F30" s="42"/>
      <c r="G30" s="42"/>
      <c r="H30" s="42"/>
      <c r="I30" s="43"/>
      <c r="J30" s="44" t="n">
        <f aca="false">MEDIAN($S$4:$S$27)</f>
        <v>418.348623853211</v>
      </c>
      <c r="K30" s="45" t="n">
        <f aca="false">J30/12</f>
        <v>34.8623853211009</v>
      </c>
      <c r="L30" s="43"/>
      <c r="M30" s="46" t="n">
        <f aca="false">J21/J30-1</f>
        <v>0.0386378733923574</v>
      </c>
      <c r="N30" s="47" t="s">
        <v>121</v>
      </c>
      <c r="O30" s="43"/>
      <c r="P30" s="43"/>
      <c r="Q30" s="43"/>
    </row>
    <row r="32" customFormat="false" ht="25.5" hidden="false" customHeight="true" outlineLevel="0" collapsed="false">
      <c r="A32" s="48" t="s">
        <v>122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 customFormat="false" ht="30" hidden="false" customHeight="true" outlineLevel="0" collapsed="false">
      <c r="A33" s="49" t="s">
        <v>123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</row>
    <row r="34" customFormat="false" ht="30" hidden="false" customHeight="true" outlineLevel="0" collapsed="false">
      <c r="A34" s="49" t="s">
        <v>124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</row>
    <row r="35" customFormat="false" ht="45" hidden="false" customHeight="true" outlineLevel="0" collapsed="false">
      <c r="A35" s="49" t="s">
        <v>125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</row>
    <row r="36" customFormat="false" ht="30" hidden="false" customHeight="true" outlineLevel="0" collapsed="false">
      <c r="A36" s="49" t="s">
        <v>126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</row>
    <row r="37" customFormat="false" ht="30" hidden="false" customHeight="true" outlineLevel="0" collapsed="false">
      <c r="A37" s="49" t="s">
        <v>127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</row>
    <row r="38" customFormat="false" ht="30" hidden="false" customHeight="true" outlineLevel="0" collapsed="false">
      <c r="A38" s="49" t="s">
        <v>128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customFormat="false" ht="30" hidden="false" customHeight="true" outlineLevel="0" collapsed="false">
      <c r="A39" s="49" t="s">
        <v>129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</row>
    <row r="40" customFormat="false" ht="45" hidden="false" customHeight="true" outlineLevel="0" collapsed="false">
      <c r="A40" s="49" t="s">
        <v>130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</row>
    <row r="42" customFormat="false" ht="21.75" hidden="false" customHeight="true" outlineLevel="0" collapsed="false">
      <c r="A42" s="50" t="s">
        <v>131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customFormat="false" ht="39" hidden="false" customHeight="true" outlineLevel="0" collapsed="false">
      <c r="A43" s="51" t="s">
        <v>132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</row>
    <row r="44" customFormat="false" ht="25.5" hidden="false" customHeight="true" outlineLevel="0" collapsed="false">
      <c r="A44" s="51" t="s">
        <v>133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</row>
    <row r="45" customFormat="false" ht="25.5" hidden="false" customHeight="true" outlineLevel="0" collapsed="false">
      <c r="A45" s="51" t="s">
        <v>134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</row>
    <row r="46" customFormat="false" ht="25.5" hidden="false" customHeight="true" outlineLevel="0" collapsed="false">
      <c r="A46" s="51" t="s">
        <v>135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</row>
    <row r="47" customFormat="false" ht="25.5" hidden="false" customHeight="true" outlineLevel="0" collapsed="false">
      <c r="A47" s="51" t="s">
        <v>136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</row>
    <row r="48" customFormat="false" ht="39" hidden="false" customHeight="true" outlineLevel="0" collapsed="false">
      <c r="A48" s="51" t="s">
        <v>137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</row>
    <row r="49" customFormat="false" ht="39" hidden="false" customHeight="true" outlineLevel="0" collapsed="false">
      <c r="A49" s="51" t="s">
        <v>138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</row>
    <row r="50" customFormat="false" ht="39" hidden="false" customHeight="true" outlineLevel="0" collapsed="false">
      <c r="A50" s="51" t="s">
        <v>139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</row>
    <row r="51" customFormat="false" ht="39" hidden="false" customHeight="true" outlineLevel="0" collapsed="false">
      <c r="A51" s="51" t="s">
        <v>140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</row>
    <row r="52" customFormat="false" ht="25.5" hidden="false" customHeight="true" outlineLevel="0" collapsed="false">
      <c r="A52" s="51" t="s">
        <v>141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</row>
    <row r="53" customFormat="false" ht="25.5" hidden="false" customHeight="true" outlineLevel="0" collapsed="false">
      <c r="A53" s="51" t="s">
        <v>142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</row>
    <row r="54" customFormat="false" ht="39" hidden="false" customHeight="true" outlineLevel="0" collapsed="false">
      <c r="A54" s="51" t="s">
        <v>143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</row>
  </sheetData>
  <mergeCells count="27">
    <mergeCell ref="A1:Q1"/>
    <mergeCell ref="A2:Q2"/>
    <mergeCell ref="A28:H28"/>
    <mergeCell ref="A29:H29"/>
    <mergeCell ref="A30:H30"/>
    <mergeCell ref="A32:Q32"/>
    <mergeCell ref="A33:Q33"/>
    <mergeCell ref="A34:Q34"/>
    <mergeCell ref="A35:Q35"/>
    <mergeCell ref="A36:Q36"/>
    <mergeCell ref="A37:Q37"/>
    <mergeCell ref="A38:Q38"/>
    <mergeCell ref="A39:Q39"/>
    <mergeCell ref="A40:Q40"/>
    <mergeCell ref="A42:Q42"/>
    <mergeCell ref="A43:Q43"/>
    <mergeCell ref="A44:Q44"/>
    <mergeCell ref="A45:Q45"/>
    <mergeCell ref="A46:Q46"/>
    <mergeCell ref="A47:Q47"/>
    <mergeCell ref="A48:Q48"/>
    <mergeCell ref="A49:Q49"/>
    <mergeCell ref="A50:Q50"/>
    <mergeCell ref="A51:Q51"/>
    <mergeCell ref="A52:Q52"/>
    <mergeCell ref="A53:Q53"/>
    <mergeCell ref="A54:Q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2026-08-11T08:31:16Z</dcterms:created>
  <dc:creator>openpyxl</dc:creator>
  <dc:description/>
  <dc:language>en-US</dc:language>
  <cp:lastModifiedBy/>
  <dcterms:modified xsi:type="dcterms:W3CDTF">2026-08-11T08:31:16Z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